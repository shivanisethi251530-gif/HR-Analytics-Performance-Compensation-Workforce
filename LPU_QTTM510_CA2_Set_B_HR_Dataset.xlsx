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a4ab3c1b58552483/Desktop/LPU EY Classes/CA 2/"/>
    </mc:Choice>
  </mc:AlternateContent>
  <xr:revisionPtr revIDLastSave="387" documentId="8_{19CFC502-138E-429A-B227-7946B74BCE17}" xr6:coauthVersionLast="47" xr6:coauthVersionMax="47" xr10:uidLastSave="{D34F88C4-B886-4550-B598-3917C1CDC72B}"/>
  <bookViews>
    <workbookView xWindow="-108" yWindow="-108" windowWidth="23256" windowHeight="12456" activeTab="3" xr2:uid="{00000000-000D-0000-FFFF-FFFF00000000}"/>
  </bookViews>
  <sheets>
    <sheet name="HR_Data" sheetId="1" r:id="rId1"/>
    <sheet name="Cleaned Data" sheetId="6" r:id="rId2"/>
    <sheet name="Answer_Sheet" sheetId="2" r:id="rId3"/>
    <sheet name="Analysis" sheetId="3" r:id="rId4"/>
    <sheet name="Data_Dictionary" sheetId="4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16" i="3" l="1"/>
  <c r="D114" i="3"/>
  <c r="D113" i="3"/>
  <c r="D104" i="3"/>
  <c r="D103" i="3"/>
  <c r="D102" i="3"/>
  <c r="D101" i="3"/>
  <c r="D100" i="3"/>
  <c r="D99" i="3"/>
  <c r="D98" i="3"/>
  <c r="D97" i="3"/>
  <c r="D96" i="3"/>
  <c r="I75" i="3"/>
  <c r="I76" i="3"/>
  <c r="D86" i="3"/>
  <c r="D85" i="3"/>
  <c r="D81" i="3"/>
  <c r="D80" i="3"/>
  <c r="D62" i="3"/>
  <c r="D61" i="3"/>
  <c r="D63" i="3" s="1"/>
  <c r="D65" i="3" s="1"/>
  <c r="D60" i="3"/>
  <c r="D66" i="3" s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</calcChain>
</file>

<file path=xl/sharedStrings.xml><?xml version="1.0" encoding="utf-8"?>
<sst xmlns="http://schemas.openxmlformats.org/spreadsheetml/2006/main" count="6322" uniqueCount="868">
  <si>
    <t>Employee_ID</t>
  </si>
  <si>
    <t>Join_Date</t>
  </si>
  <si>
    <t>Department</t>
  </si>
  <si>
    <t>Gender</t>
  </si>
  <si>
    <t>Age</t>
  </si>
  <si>
    <t>Employment_Type</t>
  </si>
  <si>
    <t>Job_Level</t>
  </si>
  <si>
    <t>Location</t>
  </si>
  <si>
    <t>Experience_Years</t>
  </si>
  <si>
    <t>Salary</t>
  </si>
  <si>
    <t>Bonus</t>
  </si>
  <si>
    <t>Performance_Rating</t>
  </si>
  <si>
    <t>Training_Hours</t>
  </si>
  <si>
    <t>Leave_Days</t>
  </si>
  <si>
    <t>Overtime_Hours</t>
  </si>
  <si>
    <t>Job_Satisfaction</t>
  </si>
  <si>
    <t>Attrition</t>
  </si>
  <si>
    <t>Promotion_Eligible</t>
  </si>
  <si>
    <t>Recruitment_Source</t>
  </si>
  <si>
    <t>Last_Promotion_Date</t>
  </si>
  <si>
    <t>Pre_Training_Performance</t>
  </si>
  <si>
    <t>Post_Training_Performance</t>
  </si>
  <si>
    <t>EMP1001</t>
  </si>
  <si>
    <t>Finance</t>
  </si>
  <si>
    <t>Male</t>
  </si>
  <si>
    <t>Full-Time</t>
  </si>
  <si>
    <t>Mid-Level</t>
  </si>
  <si>
    <t>Delhi</t>
  </si>
  <si>
    <t>No</t>
  </si>
  <si>
    <t>Yes</t>
  </si>
  <si>
    <t>Job Portal</t>
  </si>
  <si>
    <t>EMP1002</t>
  </si>
  <si>
    <t>HR</t>
  </si>
  <si>
    <t>Senior</t>
  </si>
  <si>
    <t>Company Website</t>
  </si>
  <si>
    <t>EMP1003</t>
  </si>
  <si>
    <t>Sales</t>
  </si>
  <si>
    <t>Bengaluru</t>
  </si>
  <si>
    <t>LinkedIn</t>
  </si>
  <si>
    <t>EMP1004</t>
  </si>
  <si>
    <t>Operations</t>
  </si>
  <si>
    <t>Female</t>
  </si>
  <si>
    <t>Manager</t>
  </si>
  <si>
    <t>Campus</t>
  </si>
  <si>
    <t>EMP1005</t>
  </si>
  <si>
    <t>EMP1006</t>
  </si>
  <si>
    <t>Chennai</t>
  </si>
  <si>
    <t>EMP1007</t>
  </si>
  <si>
    <t>Marketing</t>
  </si>
  <si>
    <t>EMP1008</t>
  </si>
  <si>
    <t>Part-Time</t>
  </si>
  <si>
    <t>Junior</t>
  </si>
  <si>
    <t>Hyderabad</t>
  </si>
  <si>
    <t>EMP1009</t>
  </si>
  <si>
    <t>IT</t>
  </si>
  <si>
    <t>Pune</t>
  </si>
  <si>
    <t>EMP1010</t>
  </si>
  <si>
    <t>Contract</t>
  </si>
  <si>
    <t>EMP1011</t>
  </si>
  <si>
    <t>EMP1012</t>
  </si>
  <si>
    <t>Employee Referral</t>
  </si>
  <si>
    <t>EMP1013</t>
  </si>
  <si>
    <t>EMP1014</t>
  </si>
  <si>
    <t>Mumbai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</si>
  <si>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</si>
  <si>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</si>
  <si>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</si>
  <si>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</si>
  <si>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</si>
  <si>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</si>
  <si>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</si>
  <si>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</si>
  <si>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</si>
  <si>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</si>
  <si>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</si>
  <si>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</si>
  <si>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</si>
  <si>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</si>
  <si>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</si>
  <si>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</si>
  <si>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</si>
  <si>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</si>
  <si>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</si>
  <si>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</si>
  <si>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</si>
  <si>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</si>
  <si>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</si>
  <si>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</si>
  <si>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</si>
  <si>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</si>
  <si>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</si>
  <si>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</si>
  <si>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</si>
  <si>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</si>
  <si>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</si>
  <si>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</si>
  <si>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</si>
  <si>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</si>
  <si>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</si>
  <si>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</si>
  <si>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</si>
  <si>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</si>
  <si>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</si>
  <si>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</si>
  <si>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</si>
  <si>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</si>
  <si>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</si>
  <si>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</si>
  <si>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</si>
  <si>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</si>
  <si>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</si>
  <si>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</si>
  <si>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</si>
  <si>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</si>
  <si>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</si>
  <si>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</si>
  <si>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</si>
  <si>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</si>
  <si>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</si>
  <si>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</si>
  <si>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</si>
  <si>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</si>
  <si>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</si>
  <si>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</si>
  <si>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</si>
  <si>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</si>
  <si>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</si>
  <si>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</si>
  <si>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</si>
  <si>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</si>
  <si>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</si>
  <si>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</si>
  <si>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</si>
  <si>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</si>
  <si>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</si>
  <si>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</si>
  <si>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</si>
  <si>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</si>
  <si>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</si>
  <si>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</si>
  <si>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</si>
  <si>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</si>
  <si>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</si>
  <si>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</si>
  <si>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</si>
  <si>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</si>
  <si>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</si>
  <si>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</si>
  <si>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</si>
  <si>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</si>
  <si>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</si>
  <si>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</si>
  <si>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</si>
  <si>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</si>
  <si>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</si>
  <si>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</si>
  <si>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</si>
  <si>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</si>
  <si>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</si>
  <si>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</si>
  <si>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</si>
  <si>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</si>
  <si>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</si>
  <si>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</si>
  <si>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</si>
  <si>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</si>
  <si>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</si>
  <si>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</si>
  <si>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</si>
  <si>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</si>
  <si>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</si>
  <si>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</si>
  <si>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</si>
  <si>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</si>
  <si>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</si>
  <si>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</si>
  <si>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</si>
  <si>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</si>
  <si>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</si>
  <si>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</si>
  <si>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</si>
  <si>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</si>
  <si>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</si>
  <si>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</si>
  <si>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</si>
  <si>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</si>
  <si>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</si>
  <si>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</si>
  <si>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</si>
  <si>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</si>
  <si>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</si>
  <si>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</si>
  <si>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</si>
  <si>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</si>
  <si>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</si>
  <si>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</si>
  <si>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</si>
  <si>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</si>
  <si>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</si>
  <si>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</si>
  <si>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</si>
  <si>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</si>
  <si>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</si>
  <si>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</si>
  <si>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</si>
  <si>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</si>
  <si>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</si>
  <si>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</si>
  <si>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</si>
  <si>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</si>
  <si>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</si>
  <si>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</si>
  <si>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</si>
  <si>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</si>
  <si>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</si>
  <si>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</si>
  <si>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</si>
  <si>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</si>
  <si>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</si>
  <si>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</si>
  <si>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</si>
  <si>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</si>
  <si>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</si>
  <si>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</si>
  <si>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</si>
  <si>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</si>
  <si>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</si>
  <si>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</si>
  <si>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</si>
  <si>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</si>
  <si>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</si>
  <si>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</si>
  <si>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</si>
  <si>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</si>
  <si>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</si>
  <si>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</si>
  <si>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</si>
  <si>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</si>
  <si>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</si>
  <si>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</si>
  <si>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</si>
  <si>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</si>
  <si>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</si>
  <si>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</si>
  <si>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</si>
  <si>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</si>
  <si>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</si>
  <si>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</si>
  <si>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</si>
  <si>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</si>
  <si>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</si>
  <si>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</si>
  <si>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</si>
  <si>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</si>
  <si>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</si>
  <si>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</si>
  <si>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</si>
  <si>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</si>
  <si>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</si>
  <si>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</si>
  <si>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</si>
  <si>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</si>
  <si>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</si>
  <si>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</si>
  <si>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</si>
  <si>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</si>
  <si>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</si>
  <si>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</si>
  <si>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</si>
  <si>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</si>
  <si>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</si>
  <si>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</si>
  <si>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</si>
  <si>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</si>
  <si>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</si>
  <si>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</si>
  <si>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</si>
  <si>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</si>
  <si>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</si>
  <si>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</si>
  <si>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</si>
  <si>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</si>
  <si>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</si>
  <si>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</si>
  <si>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</si>
  <si>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</si>
  <si>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</si>
  <si>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</si>
  <si>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</si>
  <si>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</si>
  <si>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</si>
  <si>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</si>
  <si>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</si>
  <si>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</si>
  <si>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</si>
  <si>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</si>
  <si>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</si>
  <si>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</si>
  <si>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</si>
  <si>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</si>
  <si>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</si>
  <si>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</si>
  <si>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</si>
  <si>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</si>
  <si>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</si>
  <si>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</si>
  <si>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</si>
  <si>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</si>
  <si>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</si>
  <si>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</si>
  <si>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</si>
  <si>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</si>
  <si>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</si>
  <si>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</si>
  <si>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</si>
  <si>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</si>
  <si>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</si>
  <si>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</si>
  <si>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</si>
  <si>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</si>
  <si>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</si>
  <si>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</si>
  <si>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</si>
  <si>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</si>
  <si>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</si>
  <si>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</si>
  <si>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</si>
  <si>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</si>
  <si>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</si>
  <si>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</si>
  <si>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</si>
  <si>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</si>
  <si>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</si>
  <si>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</si>
  <si>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</si>
  <si>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</si>
  <si>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</si>
  <si>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</si>
  <si>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</si>
  <si>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</si>
  <si>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</si>
  <si>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</si>
  <si>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</si>
  <si>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</si>
  <si>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</si>
  <si>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</si>
  <si>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</si>
  <si>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</si>
  <si>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</si>
  <si>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</si>
  <si>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CONTINUOUS ASSESSMENT ANSWER SHEET</t>
  </si>
  <si>
    <t>CA2 SET B</t>
  </si>
  <si>
    <t>Question</t>
  </si>
  <si>
    <t>Final answer / finding</t>
  </si>
  <si>
    <t>Evidence location (cell, pivot, chart)</t>
  </si>
  <si>
    <t>Business interpretation / recommendation</t>
  </si>
  <si>
    <t>Q1</t>
  </si>
  <si>
    <t>Q2</t>
  </si>
  <si>
    <t>Q3</t>
  </si>
  <si>
    <t>Q4</t>
  </si>
  <si>
    <t>Q5</t>
  </si>
  <si>
    <t>Q6</t>
  </si>
  <si>
    <t>Student Analysis Workspace</t>
  </si>
  <si>
    <t>Build all calculations here. Keep outputs clearly labelled Q1 to Q6.</t>
  </si>
  <si>
    <t>Description</t>
  </si>
  <si>
    <t>Unique employee identifier</t>
  </si>
  <si>
    <t>Employee joining date</t>
  </si>
  <si>
    <t>Employee department</t>
  </si>
  <si>
    <t>Employee gender</t>
  </si>
  <si>
    <t>Employee age</t>
  </si>
  <si>
    <t>Employment arrangement</t>
  </si>
  <si>
    <t>Employee job level</t>
  </si>
  <si>
    <t>Employee work location</t>
  </si>
  <si>
    <t>Years of professional experience</t>
  </si>
  <si>
    <t>Annual salary</t>
  </si>
  <si>
    <t>Annual bonus</t>
  </si>
  <si>
    <t>Performance rating out of 5</t>
  </si>
  <si>
    <t>Annual training hours</t>
  </si>
  <si>
    <t>Number of leave days taken</t>
  </si>
  <si>
    <t>Overtime hours</t>
  </si>
  <si>
    <t>Job satisfaction rating out of 5</t>
  </si>
  <si>
    <t>Whether the employee left the company</t>
  </si>
  <si>
    <t>Whether employee is eligible for promotion</t>
  </si>
  <si>
    <t>Source through which employee was recruited</t>
  </si>
  <si>
    <t>Most recent promotion date</t>
  </si>
  <si>
    <t>Performance rating before training</t>
  </si>
  <si>
    <t>Performance rating after training</t>
  </si>
  <si>
    <t>Registration No. - 12613604</t>
  </si>
  <si>
    <t>Student Name - Shivani Sethi</t>
  </si>
  <si>
    <t xml:space="preserve">Question 1 </t>
  </si>
  <si>
    <t>Corrected</t>
  </si>
  <si>
    <t>Query</t>
  </si>
  <si>
    <t xml:space="preserve">Final Row Count </t>
  </si>
  <si>
    <t xml:space="preserve">Duplicate Employee IDs </t>
  </si>
  <si>
    <t xml:space="preserve">Null / Blank Values </t>
  </si>
  <si>
    <t xml:space="preserve">Data Types </t>
  </si>
  <si>
    <t>Cleaned Table Loaded</t>
  </si>
  <si>
    <t xml:space="preserve">Question 2 </t>
  </si>
  <si>
    <t>Item</t>
  </si>
  <si>
    <t>Result / Evidence</t>
  </si>
  <si>
    <t>Experience_Band</t>
  </si>
  <si>
    <t>Created using Conditional Column</t>
  </si>
  <si>
    <t>&lt; 3 years</t>
  </si>
  <si>
    <t>Fresher/Junior</t>
  </si>
  <si>
    <t>3–7 years</t>
  </si>
  <si>
    <t>Experienced</t>
  </si>
  <si>
    <t>&gt; 7 years</t>
  </si>
  <si>
    <t>Highly Experienced</t>
  </si>
  <si>
    <t xml:space="preserve">Question 3 </t>
  </si>
  <si>
    <t>Extracted numeric portion from Employee_ID</t>
  </si>
  <si>
    <t>Power Query → Applied Steps → Employee_Code</t>
  </si>
  <si>
    <t>Employee  Code:</t>
  </si>
  <si>
    <t>Example : EMP1125 → 1125</t>
  </si>
  <si>
    <t xml:space="preserve">Evidence </t>
  </si>
  <si>
    <t xml:space="preserve">Power Query → Applied Steps → Experience_Band </t>
  </si>
  <si>
    <t>Join_Month</t>
  </si>
  <si>
    <t>Employee_Code_Excel</t>
  </si>
  <si>
    <t>Row Labels</t>
  </si>
  <si>
    <t>Grand Total</t>
  </si>
  <si>
    <t>Count of Employee_ID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</si>
  <si>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</si>
  <si>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</si>
  <si>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</si>
  <si>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</si>
  <si>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</si>
  <si>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</si>
  <si>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</si>
  <si>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</si>
  <si>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</si>
  <si>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</si>
  <si>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</si>
  <si>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</si>
  <si>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Performance_Rating</t>
  </si>
  <si>
    <t xml:space="preserve">Pivot Table </t>
  </si>
  <si>
    <t>TEXT(Join_Date,"mmm")</t>
  </si>
  <si>
    <t>VALUE(RIGHT(Employee_ID,LEN(Employee_ID)-3))</t>
  </si>
  <si>
    <t>Purpose: Extracts the month name from Join_Date</t>
  </si>
  <si>
    <t>ROWS:</t>
  </si>
  <si>
    <t>VALUES:</t>
  </si>
  <si>
    <t>Employee_ID → Count</t>
  </si>
  <si>
    <t>Performance_Rating → Average</t>
  </si>
  <si>
    <t xml:space="preserve">Question 4 </t>
  </si>
  <si>
    <t>Result</t>
  </si>
  <si>
    <t>A</t>
  </si>
  <si>
    <t>B</t>
  </si>
  <si>
    <t>C</t>
  </si>
  <si>
    <t>Value</t>
  </si>
  <si>
    <t>Formula/Explanation</t>
  </si>
  <si>
    <t>H₀ (Null Hypothesis)</t>
  </si>
  <si>
    <t>H₁ (Alternative Hypothesis)</t>
  </si>
  <si>
    <t>Significance Level (α)</t>
  </si>
  <si>
    <t>Test Type</t>
  </si>
  <si>
    <t>μ = ₹60,000</t>
  </si>
  <si>
    <t>μ ≠ ₹60,000</t>
  </si>
  <si>
    <t>Two tailed one sample t-test</t>
  </si>
  <si>
    <t>The question says:</t>
  </si>
  <si>
    <r>
      <t xml:space="preserve">Test whether the mean annual Salary </t>
    </r>
    <r>
      <rPr>
        <b/>
        <sz val="11"/>
        <color theme="1"/>
        <rFont val="Calibri"/>
        <family val="2"/>
        <charset val="1"/>
      </rPr>
      <t>differs from</t>
    </r>
    <r>
      <rPr>
        <sz val="11"/>
        <color theme="1"/>
        <rFont val="Calibri"/>
        <family val="2"/>
        <charset val="1"/>
      </rPr>
      <t xml:space="preserve"> ₹60,000.</t>
    </r>
  </si>
  <si>
    <t>"Differs" means it could be:</t>
  </si>
  <si>
    <r>
      <t xml:space="preserve">greater than ₹60,000 </t>
    </r>
    <r>
      <rPr>
        <b/>
        <sz val="11"/>
        <color theme="1"/>
        <rFont val="Calibri"/>
        <family val="2"/>
        <charset val="1"/>
      </rPr>
      <t>OR</t>
    </r>
  </si>
  <si>
    <t>less than ₹60,000</t>
  </si>
  <si>
    <r>
      <t xml:space="preserve">Therefore it's </t>
    </r>
    <r>
      <rPr>
        <b/>
        <sz val="11"/>
        <color theme="1"/>
        <rFont val="Calibri"/>
        <family val="2"/>
        <charset val="1"/>
      </rPr>
      <t>two-tailed</t>
    </r>
    <r>
      <rPr>
        <sz val="11"/>
        <color theme="1"/>
        <rFont val="Calibri"/>
        <family val="2"/>
        <charset val="1"/>
      </rPr>
      <t>.</t>
    </r>
  </si>
  <si>
    <t>Sample size (n)</t>
  </si>
  <si>
    <t xml:space="preserve">Sample Mean </t>
  </si>
  <si>
    <t>Sample Standard Deviation(s)</t>
  </si>
  <si>
    <t>t-static</t>
  </si>
  <si>
    <t>Two-tailed p-value</t>
  </si>
  <si>
    <t>Degree of Freedom(df)</t>
  </si>
  <si>
    <t>p-value ≈ 9.89E-45 and α = 0.05</t>
  </si>
  <si>
    <t>p-value &lt; α</t>
  </si>
  <si>
    <t>So: Reject H₀</t>
  </si>
  <si>
    <t xml:space="preserve">Conclusion </t>
  </si>
  <si>
    <t>There is statistically significant evidence that the population mean annual salary differs from ₹60,000, with the sample mean indicating a higher average salary.</t>
  </si>
  <si>
    <t>Decision</t>
  </si>
  <si>
    <t>Calculation</t>
  </si>
  <si>
    <t>Excel Formula</t>
  </si>
  <si>
    <t>n</t>
  </si>
  <si>
    <t>Mean</t>
  </si>
  <si>
    <t>Sample SD</t>
  </si>
  <si>
    <t>df</t>
  </si>
  <si>
    <t>t-statistic</t>
  </si>
  <si>
    <t>p-value</t>
  </si>
  <si>
    <t>n-1</t>
  </si>
  <si>
    <t>(Mean-60000)/(SD/SQRT(n))</t>
  </si>
  <si>
    <t>T.DIST.2T(ABS(t),df)</t>
  </si>
  <si>
    <t>STDEV.S(HR_Data[Salary])</t>
  </si>
  <si>
    <t>AVERAGE(HR_Data[Salary])</t>
  </si>
  <si>
    <t>COUNT(HR_Data[Salary])</t>
  </si>
  <si>
    <t xml:space="preserve">Question 5 </t>
  </si>
  <si>
    <t>H₀</t>
  </si>
  <si>
    <t>μ ≤ 12 days</t>
  </si>
  <si>
    <t>H₁</t>
  </si>
  <si>
    <t>μ &gt; 12 days</t>
  </si>
  <si>
    <t>One-Tailed One-Sample z-Test</t>
  </si>
  <si>
    <t>Tail</t>
  </si>
  <si>
    <t>Upper / Right</t>
  </si>
  <si>
    <t>Sample Size(n)</t>
  </si>
  <si>
    <t>Population SD (σ)</t>
  </si>
  <si>
    <t>Hypothesized Mean (μ₀)</t>
  </si>
  <si>
    <t>z-statistic</t>
  </si>
  <si>
    <t>upper tail p-value</t>
  </si>
  <si>
    <t>Fail to reject H₀</t>
  </si>
  <si>
    <t>HR Conclusion</t>
  </si>
  <si>
    <t>There is insufficient statistical evidence to conclude that the population mean Leave_Days is greater than 12 days.</t>
  </si>
  <si>
    <t>Sample Mean</t>
  </si>
  <si>
    <t>Population SD</t>
  </si>
  <si>
    <t>Hypothesized Mean</t>
  </si>
  <si>
    <t>Upper-tail p-value</t>
  </si>
  <si>
    <t>COUNT(HR_Data[Leave_Days])</t>
  </si>
  <si>
    <t>AVERAGE(HR_Data[Leave_Days])</t>
  </si>
  <si>
    <t>(Mean-12)/(4/SQRT(n))</t>
  </si>
  <si>
    <t>1-NORM.S.DIST(z,TRUE)</t>
  </si>
  <si>
    <t>Question 6</t>
  </si>
  <si>
    <t>Confidence Interval and Performance Comparison</t>
  </si>
  <si>
    <t>Sample Standard Deviation</t>
  </si>
  <si>
    <t>Standard Error</t>
  </si>
  <si>
    <t>Degrees of Freedom</t>
  </si>
  <si>
    <t>t-critical value</t>
  </si>
  <si>
    <t>Margin of error</t>
  </si>
  <si>
    <t>Lower Limit</t>
  </si>
  <si>
    <t>Upper Limit</t>
  </si>
  <si>
    <t xml:space="preserve">Final Statement </t>
  </si>
  <si>
    <t>The 95% t-based confidence interval for the population mean Job Satisfaction is approximately 3.5687 to 3.7280.</t>
  </si>
  <si>
    <t>PART A</t>
  </si>
  <si>
    <t>PART B</t>
  </si>
  <si>
    <t>Pre-Training vs Post-Training Performance</t>
  </si>
  <si>
    <t>Q6(b) — Performance Comparison</t>
  </si>
  <si>
    <t xml:space="preserve">Pre Training Performance Average </t>
  </si>
  <si>
    <t>Post Training Average</t>
  </si>
  <si>
    <t xml:space="preserve">Difference </t>
  </si>
  <si>
    <t xml:space="preserve">Since 3.7943&gt;3.4527
Yes, average performance appears to have improved </t>
  </si>
  <si>
    <t>Conclusion</t>
  </si>
  <si>
    <t>t-critical</t>
  </si>
  <si>
    <t>Margin of Error</t>
  </si>
  <si>
    <t>Pre-training Average</t>
  </si>
  <si>
    <t>Post-training Average</t>
  </si>
  <si>
    <t>COUNT(HR_Data[Job_Satisfaction])</t>
  </si>
  <si>
    <t>AVERAGE(HR_Data[Job_Satisfaction])</t>
  </si>
  <si>
    <t>STDEV.S(HR_Data[Job_Satisfaction])</t>
  </si>
  <si>
    <t>STDEV.S(HR_Data[Job_Satisfaction])/SQRT(COUNT(HR_Data[Job_Satisfaction]))</t>
  </si>
  <si>
    <t>COUNT(HR_Data[Job_Satisfaction])-1</t>
  </si>
  <si>
    <t>T.INV.2T(0.05,299)</t>
  </si>
  <si>
    <t>t-critical*Standard_Error</t>
  </si>
  <si>
    <t>Mean-Margin_of_Error</t>
  </si>
  <si>
    <t>Mean+Margin_of_Error</t>
  </si>
  <si>
    <t>AVERAGE(HR_Data[Pre_Training_Performance])</t>
  </si>
  <si>
    <t>AVERAGE(HR_Data[Post_Training_Performance])</t>
  </si>
  <si>
    <t>Cleaned HR dataset loaded successfully. Final row count = 300. Duplicate Employee_IDs = 0. Blank/Null values = 0. Data Types corrected for date and numeric fields.</t>
  </si>
  <si>
    <t>Created Experience_Band using Conditional Column: Fresher/Junior (&lt;3), Experienced (3–7), Highly Experienced (&gt;7). Created Employee_Code by extracting the numeric portion of Employee_ID (e.g., EMP1125 → 1125).</t>
  </si>
  <si>
    <t>Created Join_Month using the TEXT date function and Employee_Code_Excel using text functions. Generated PivotTable showing Count of Employee_ID and Average Performance_Rating by Join_Month.</t>
  </si>
  <si>
    <t>H₀: μ = ₹60,000; H₁: μ ≠ ₹60,000. n = 300, Mean Salary = ₹99,734, Sample SD = ₹41,182.66, t = 16.71, p-value ≈ 9.89E-45. Decision: Reject H₀. Conclusion: Mean annual salary differs significantly from ₹60,000.</t>
  </si>
  <si>
    <t>H₀: μ ≤ 12 days; H₁: μ &gt; 12 days. n = 300, Mean Leave Days = 11.6233, Population SD = 4, z = −1.6310, Upper-tail p-value = 0.9486. Decision: Fail to reject H₀. Conclusion: Insufficient evidence that the mean Leave_Days exceeds 12 days.</t>
  </si>
  <si>
    <t>95% Confidence Interval for Job Satisfaction: Mean = 3.6483, Lower = 3.5687, Upper = 3.7280. Pre-training Performance = 3.4527, Post-training Performance = 3.7943. Conclusion: Average performance appears to have improved after training.</t>
  </si>
  <si>
    <t>Go to Q1 Analysis</t>
  </si>
  <si>
    <t>Go to Q2 Analysis</t>
  </si>
  <si>
    <t>Go to Q3 Analysis</t>
  </si>
  <si>
    <t xml:space="preserve">Go to Q4 Analysis </t>
  </si>
  <si>
    <t>Go to Q5 Analysis</t>
  </si>
  <si>
    <t>Go to Q6 Analysis</t>
  </si>
  <si>
    <t xml:space="preserve">PIVOT TABLE </t>
  </si>
  <si>
    <t>The HR dataset is complete and reliable for further analysis, with no duplicate Employee_IDs or missing values identified.</t>
  </si>
  <si>
    <t>Employees can now be easily segmented by experience level, while Employee_Code provides a simplified numeric identifier for analysis.</t>
  </si>
  <si>
    <t>The monthly summary helps HR understand employee joining patterns and compare average performance across joining months.</t>
  </si>
  <si>
    <t>The average annual salary is significantly different from ₹60,000 and the sample indicates a substantially higher average salary, which may be relevant for compensation planning.</t>
  </si>
  <si>
    <t>There is insufficient evidence to conclude that employees take more than 12 leave days on average, so the data does not indicate unusually high average leave usage.</t>
  </si>
  <si>
    <r>
      <t xml:space="preserve">Job satisfaction is estimated to average between </t>
    </r>
    <r>
      <rPr>
        <b/>
        <sz val="11"/>
        <color theme="1"/>
        <rFont val="Calibri"/>
        <family val="2"/>
        <charset val="1"/>
      </rPr>
      <t>3.5687 and 3.7280</t>
    </r>
    <r>
      <rPr>
        <sz val="11"/>
        <color theme="1"/>
        <rFont val="Calibri"/>
        <family val="2"/>
        <charset val="1"/>
      </rPr>
      <t xml:space="preserve"> with 95% confidence. Average performance also increased from </t>
    </r>
    <r>
      <rPr>
        <b/>
        <sz val="11"/>
        <color theme="1"/>
        <rFont val="Calibri"/>
        <family val="2"/>
        <charset val="1"/>
      </rPr>
      <t>3.4527 before training to 3.7943 after training</t>
    </r>
    <r>
      <rPr>
        <sz val="11"/>
        <color theme="1"/>
        <rFont val="Calibri"/>
        <family val="2"/>
        <charset val="1"/>
      </rPr>
      <t>, suggesting an improvement after training.</t>
    </r>
  </si>
  <si>
    <t>Assessment Version - CONTINUOUS ASSESSMENT - CA2 SET B</t>
  </si>
  <si>
    <t xml:space="preserve">Experience_Band </t>
  </si>
  <si>
    <t>Text After Delimiter</t>
  </si>
  <si>
    <t>1005</t>
  </si>
  <si>
    <t>1009</t>
  </si>
  <si>
    <t>1013</t>
  </si>
  <si>
    <t>1016</t>
  </si>
  <si>
    <t>1017</t>
  </si>
  <si>
    <t>1018</t>
  </si>
  <si>
    <t>1022</t>
  </si>
  <si>
    <t>1030</t>
  </si>
  <si>
    <t>1036</t>
  </si>
  <si>
    <t>1042</t>
  </si>
  <si>
    <t>1043</t>
  </si>
  <si>
    <t>1047</t>
  </si>
  <si>
    <t>1052</t>
  </si>
  <si>
    <t>1056</t>
  </si>
  <si>
    <t>1075</t>
  </si>
  <si>
    <t>1080</t>
  </si>
  <si>
    <t>1085</t>
  </si>
  <si>
    <t>1087</t>
  </si>
  <si>
    <t>1089</t>
  </si>
  <si>
    <t>1097</t>
  </si>
  <si>
    <t>1101</t>
  </si>
  <si>
    <t>1105</t>
  </si>
  <si>
    <t>1108</t>
  </si>
  <si>
    <t>1111</t>
  </si>
  <si>
    <t>1113</t>
  </si>
  <si>
    <t>1115</t>
  </si>
  <si>
    <t>1116</t>
  </si>
  <si>
    <t>1117</t>
  </si>
  <si>
    <t>1119</t>
  </si>
  <si>
    <t>1124</t>
  </si>
  <si>
    <t>1133</t>
  </si>
  <si>
    <t>1134</t>
  </si>
  <si>
    <t>1135</t>
  </si>
  <si>
    <t>1138</t>
  </si>
  <si>
    <t>1142</t>
  </si>
  <si>
    <t>1143</t>
  </si>
  <si>
    <t>1145</t>
  </si>
  <si>
    <t>1146</t>
  </si>
  <si>
    <t>1149</t>
  </si>
  <si>
    <t>1152</t>
  </si>
  <si>
    <t>1157</t>
  </si>
  <si>
    <t>1158</t>
  </si>
  <si>
    <t>1167</t>
  </si>
  <si>
    <t>1174</t>
  </si>
  <si>
    <t>1178</t>
  </si>
  <si>
    <t>1186</t>
  </si>
  <si>
    <t>1190</t>
  </si>
  <si>
    <t>1195</t>
  </si>
  <si>
    <t>1197</t>
  </si>
  <si>
    <t>1200</t>
  </si>
  <si>
    <t>1202</t>
  </si>
  <si>
    <t>1208</t>
  </si>
  <si>
    <t>1209</t>
  </si>
  <si>
    <t>1210</t>
  </si>
  <si>
    <t>1213</t>
  </si>
  <si>
    <t>1221</t>
  </si>
  <si>
    <t>1226</t>
  </si>
  <si>
    <t>1228</t>
  </si>
  <si>
    <t>1230</t>
  </si>
  <si>
    <t>1236</t>
  </si>
  <si>
    <t>1237</t>
  </si>
  <si>
    <t>1240</t>
  </si>
  <si>
    <t>1241</t>
  </si>
  <si>
    <t>1243</t>
  </si>
  <si>
    <t>1246</t>
  </si>
  <si>
    <t>1251</t>
  </si>
  <si>
    <t>1261</t>
  </si>
  <si>
    <t>1262</t>
  </si>
  <si>
    <t>1264</t>
  </si>
  <si>
    <t>1274</t>
  </si>
  <si>
    <t>1279</t>
  </si>
  <si>
    <t>1283</t>
  </si>
  <si>
    <t>1286</t>
  </si>
  <si>
    <t>1292</t>
  </si>
  <si>
    <t>1294</t>
  </si>
  <si>
    <t>1296</t>
  </si>
  <si>
    <t>1298</t>
  </si>
  <si>
    <t>1299</t>
  </si>
  <si>
    <t>1008</t>
  </si>
  <si>
    <t>1032</t>
  </si>
  <si>
    <t>1033</t>
  </si>
  <si>
    <t>1039</t>
  </si>
  <si>
    <t>1050</t>
  </si>
  <si>
    <t>1053</t>
  </si>
  <si>
    <t>1060</t>
  </si>
  <si>
    <t>1088</t>
  </si>
  <si>
    <t>1110</t>
  </si>
  <si>
    <t>1123</t>
  </si>
  <si>
    <t>1129</t>
  </si>
  <si>
    <t>1147</t>
  </si>
  <si>
    <t>1154</t>
  </si>
  <si>
    <t>1166</t>
  </si>
  <si>
    <t>1188</t>
  </si>
  <si>
    <t>1203</t>
  </si>
  <si>
    <t>1214</t>
  </si>
  <si>
    <t>1224</t>
  </si>
  <si>
    <t>1235</t>
  </si>
  <si>
    <t>1252</t>
  </si>
  <si>
    <t>1268</t>
  </si>
  <si>
    <t>1272</t>
  </si>
  <si>
    <t>1295</t>
  </si>
  <si>
    <t>1007</t>
  </si>
  <si>
    <t>1010</t>
  </si>
  <si>
    <t>1011</t>
  </si>
  <si>
    <t>1021</t>
  </si>
  <si>
    <t>1027</t>
  </si>
  <si>
    <t>1029</t>
  </si>
  <si>
    <t>1035</t>
  </si>
  <si>
    <t>1040</t>
  </si>
  <si>
    <t>1044</t>
  </si>
  <si>
    <t>1049</t>
  </si>
  <si>
    <t>1055</t>
  </si>
  <si>
    <t>1065</t>
  </si>
  <si>
    <t>1068</t>
  </si>
  <si>
    <t>1070</t>
  </si>
  <si>
    <t>1073</t>
  </si>
  <si>
    <t>1076</t>
  </si>
  <si>
    <t>1077</t>
  </si>
  <si>
    <t>1079</t>
  </si>
  <si>
    <t>1083</t>
  </si>
  <si>
    <t>1095</t>
  </si>
  <si>
    <t>1096</t>
  </si>
  <si>
    <t>1104</t>
  </si>
  <si>
    <t>1107</t>
  </si>
  <si>
    <t>1114</t>
  </si>
  <si>
    <t>1121</t>
  </si>
  <si>
    <t>1141</t>
  </si>
  <si>
    <t>1148</t>
  </si>
  <si>
    <t>1163</t>
  </si>
  <si>
    <t>1164</t>
  </si>
  <si>
    <t>1169</t>
  </si>
  <si>
    <t>1175</t>
  </si>
  <si>
    <t>1177</t>
  </si>
  <si>
    <t>1181</t>
  </si>
  <si>
    <t>1185</t>
  </si>
  <si>
    <t>1187</t>
  </si>
  <si>
    <t>1194</t>
  </si>
  <si>
    <t>1201</t>
  </si>
  <si>
    <t>1211</t>
  </si>
  <si>
    <t>1217</t>
  </si>
  <si>
    <t>1222</t>
  </si>
  <si>
    <t>1223</t>
  </si>
  <si>
    <t>1225</t>
  </si>
  <si>
    <t>1227</t>
  </si>
  <si>
    <t>1231</t>
  </si>
  <si>
    <t>1233</t>
  </si>
  <si>
    <t>1254</t>
  </si>
  <si>
    <t>1255</t>
  </si>
  <si>
    <t>1259</t>
  </si>
  <si>
    <t>1260</t>
  </si>
  <si>
    <t>1263</t>
  </si>
  <si>
    <t>1269</t>
  </si>
  <si>
    <t>1275</t>
  </si>
  <si>
    <t>1280</t>
  </si>
  <si>
    <t>1281</t>
  </si>
  <si>
    <t>1282</t>
  </si>
  <si>
    <t>1291</t>
  </si>
  <si>
    <t>1297</t>
  </si>
  <si>
    <t>1020</t>
  </si>
  <si>
    <t>1026</t>
  </si>
  <si>
    <t>1028</t>
  </si>
  <si>
    <t>1034</t>
  </si>
  <si>
    <t>1038</t>
  </si>
  <si>
    <t>1041</t>
  </si>
  <si>
    <t>1051</t>
  </si>
  <si>
    <t>1054</t>
  </si>
  <si>
    <t>1061</t>
  </si>
  <si>
    <t>1064</t>
  </si>
  <si>
    <t>1069</t>
  </si>
  <si>
    <t>1074</t>
  </si>
  <si>
    <t>1091</t>
  </si>
  <si>
    <t>1093</t>
  </si>
  <si>
    <t>1098</t>
  </si>
  <si>
    <t>1099</t>
  </si>
  <si>
    <t>1100</t>
  </si>
  <si>
    <t>1103</t>
  </si>
  <si>
    <t>1109</t>
  </si>
  <si>
    <t>1112</t>
  </si>
  <si>
    <t>1126</t>
  </si>
  <si>
    <t>1128</t>
  </si>
  <si>
    <t>1139</t>
  </si>
  <si>
    <t>1140</t>
  </si>
  <si>
    <t>1144</t>
  </si>
  <si>
    <t>1150</t>
  </si>
  <si>
    <t>1151</t>
  </si>
  <si>
    <t>1155</t>
  </si>
  <si>
    <t>1161</t>
  </si>
  <si>
    <t>1162</t>
  </si>
  <si>
    <t>1171</t>
  </si>
  <si>
    <t>1173</t>
  </si>
  <si>
    <t>1176</t>
  </si>
  <si>
    <t>1179</t>
  </si>
  <si>
    <t>1189</t>
  </si>
  <si>
    <t>1191</t>
  </si>
  <si>
    <t>1193</t>
  </si>
  <si>
    <t>1196</t>
  </si>
  <si>
    <t>1204</t>
  </si>
  <si>
    <t>1206</t>
  </si>
  <si>
    <t>1207</t>
  </si>
  <si>
    <t>1212</t>
  </si>
  <si>
    <t>1218</t>
  </si>
  <si>
    <t>1238</t>
  </si>
  <si>
    <t>1245</t>
  </si>
  <si>
    <t>1248</t>
  </si>
  <si>
    <t>1250</t>
  </si>
  <si>
    <t>1256</t>
  </si>
  <si>
    <t>1266</t>
  </si>
  <si>
    <t>1271</t>
  </si>
  <si>
    <t>1277</t>
  </si>
  <si>
    <t>1278</t>
  </si>
  <si>
    <t>1288</t>
  </si>
  <si>
    <t>1290</t>
  </si>
  <si>
    <t>1293</t>
  </si>
  <si>
    <t>1023</t>
  </si>
  <si>
    <t>1048</t>
  </si>
  <si>
    <t>1090</t>
  </si>
  <si>
    <t>1092</t>
  </si>
  <si>
    <t>1102</t>
  </si>
  <si>
    <t>1106</t>
  </si>
  <si>
    <t>1120</t>
  </si>
  <si>
    <t>1125</t>
  </si>
  <si>
    <t>1131</t>
  </si>
  <si>
    <t>1159</t>
  </si>
  <si>
    <t>1165</t>
  </si>
  <si>
    <t>1205</t>
  </si>
  <si>
    <t>1257</t>
  </si>
  <si>
    <t>1267</t>
  </si>
  <si>
    <t>1270</t>
  </si>
  <si>
    <t>1287</t>
  </si>
  <si>
    <t>1001</t>
  </si>
  <si>
    <t>1002</t>
  </si>
  <si>
    <t>1003</t>
  </si>
  <si>
    <t>1004</t>
  </si>
  <si>
    <t>1006</t>
  </si>
  <si>
    <t>1012</t>
  </si>
  <si>
    <t>1014</t>
  </si>
  <si>
    <t>1015</t>
  </si>
  <si>
    <t>1019</t>
  </si>
  <si>
    <t>1024</t>
  </si>
  <si>
    <t>1025</t>
  </si>
  <si>
    <t>1031</t>
  </si>
  <si>
    <t>1037</t>
  </si>
  <si>
    <t>1045</t>
  </si>
  <si>
    <t>1046</t>
  </si>
  <si>
    <t>1057</t>
  </si>
  <si>
    <t>1058</t>
  </si>
  <si>
    <t>1059</t>
  </si>
  <si>
    <t>1062</t>
  </si>
  <si>
    <t>1063</t>
  </si>
  <si>
    <t>1066</t>
  </si>
  <si>
    <t>1067</t>
  </si>
  <si>
    <t>1071</t>
  </si>
  <si>
    <t>1072</t>
  </si>
  <si>
    <t>1078</t>
  </si>
  <si>
    <t>1081</t>
  </si>
  <si>
    <t>1082</t>
  </si>
  <si>
    <t>1084</t>
  </si>
  <si>
    <t>1086</t>
  </si>
  <si>
    <t>1094</t>
  </si>
  <si>
    <t>1118</t>
  </si>
  <si>
    <t>1122</t>
  </si>
  <si>
    <t>1127</t>
  </si>
  <si>
    <t>1130</t>
  </si>
  <si>
    <t>1132</t>
  </si>
  <si>
    <t>1136</t>
  </si>
  <si>
    <t>1137</t>
  </si>
  <si>
    <t>1153</t>
  </si>
  <si>
    <t>1156</t>
  </si>
  <si>
    <t>1160</t>
  </si>
  <si>
    <t>1168</t>
  </si>
  <si>
    <t>1170</t>
  </si>
  <si>
    <t>1172</t>
  </si>
  <si>
    <t>1180</t>
  </si>
  <si>
    <t>1182</t>
  </si>
  <si>
    <t>1183</t>
  </si>
  <si>
    <t>1184</t>
  </si>
  <si>
    <t>1192</t>
  </si>
  <si>
    <t>1198</t>
  </si>
  <si>
    <t>1199</t>
  </si>
  <si>
    <t>1215</t>
  </si>
  <si>
    <t>1216</t>
  </si>
  <si>
    <t>1219</t>
  </si>
  <si>
    <t>1220</t>
  </si>
  <si>
    <t>1229</t>
  </si>
  <si>
    <t>1232</t>
  </si>
  <si>
    <t>1234</t>
  </si>
  <si>
    <t>1239</t>
  </si>
  <si>
    <t>1242</t>
  </si>
  <si>
    <t>1244</t>
  </si>
  <si>
    <t>1247</t>
  </si>
  <si>
    <t>1249</t>
  </si>
  <si>
    <t>1253</t>
  </si>
  <si>
    <t>1258</t>
  </si>
  <si>
    <t>1265</t>
  </si>
  <si>
    <t>1273</t>
  </si>
  <si>
    <t>1276</t>
  </si>
  <si>
    <t>1284</t>
  </si>
  <si>
    <t>1285</t>
  </si>
  <si>
    <t>1289</t>
  </si>
  <si>
    <t>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</si>
</sst>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0.0"/>
    <numFmt numFmtId="166" formatCode="\₹#,##0"/>
  </numFmts>
  <fonts count="16" x14ac:knownFonts="1">
    <font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5"/>
      <color rgb="FFFFFFFF"/>
      <name val="Calibri"/>
      <family val="2"/>
      <charset val="1"/>
    </font>
    <font>
      <b/>
      <sz val="14"/>
      <color rgb="FF2E2E38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color theme="1"/>
      <name val="Arial Unicode MS"/>
    </font>
    <font>
      <b/>
      <sz val="11"/>
      <color theme="1"/>
      <name val="Calibri"/>
      <family val="2"/>
    </font>
    <font>
      <b/>
      <sz val="13.5"/>
      <color theme="1"/>
      <name val="Calibri"/>
      <family val="2"/>
      <charset val="1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4"/>
      <color theme="1"/>
      <name val="Calibri"/>
      <family val="2"/>
    </font>
    <font>
      <u/>
      <sz val="11"/>
      <color theme="10"/>
      <name val="Calibri"/>
      <family val="2"/>
      <charset val="1"/>
    </font>
    <font>
      <sz val="20"/>
      <color theme="1"/>
      <name val="Calibri"/>
      <family val="2"/>
      <charset val="1"/>
    </font>
    <font>
      <sz val="11"/>
      <color indexed="63"/>
      <name val="Calibri"/>
      <family val="2"/>
    </font>
    <font>
      <b/>
      <sz val="11"/>
      <color indexed="6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2E38"/>
        <bgColor rgb="FF3333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wrapText="1"/>
    </xf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0" borderId="0" xfId="0" applyFont="1"/>
    <xf numFmtId="0" fontId="7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7" fillId="0" borderId="1" xfId="0" applyFont="1" applyBorder="1"/>
    <xf numFmtId="0" fontId="0" fillId="0" borderId="0" xfId="0" applyAlignment="1">
      <alignment horizontal="left" vertical="center" indent="1"/>
    </xf>
    <xf numFmtId="2" fontId="0" fillId="0" borderId="0" xfId="0" applyNumberFormat="1"/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inden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7" fillId="4" borderId="0" xfId="0" applyFont="1" applyFill="1" applyAlignment="1">
      <alignment horizontal="center"/>
    </xf>
    <xf numFmtId="0" fontId="0" fillId="4" borderId="1" xfId="0" applyFill="1" applyBorder="1"/>
    <xf numFmtId="0" fontId="7" fillId="4" borderId="1" xfId="0" applyFont="1" applyFill="1" applyBorder="1"/>
    <xf numFmtId="0" fontId="11" fillId="4" borderId="1" xfId="0" applyFont="1" applyFill="1" applyBorder="1"/>
    <xf numFmtId="0" fontId="13" fillId="0" borderId="0" xfId="0" applyFont="1" applyAlignment="1">
      <alignment horizontal="center" vertical="center"/>
    </xf>
    <xf numFmtId="0" fontId="12" fillId="0" borderId="0" xfId="1" applyAlignment="1">
      <alignment horizontal="center" vertical="center"/>
    </xf>
    <xf numFmtId="0" fontId="14" fillId="0" borderId="0" xfId="0" applyFont="1"/>
    <xf numFmtId="15" fontId="14" fillId="0" borderId="0" xfId="0" applyNumberFormat="1" applyFont="1"/>
    <xf numFmtId="1" fontId="14" fillId="0" borderId="0" xfId="0" applyNumberFormat="1" applyFont="1"/>
    <xf numFmtId="0" fontId="15" fillId="0" borderId="1" xfId="0" applyFont="1" applyBorder="1"/>
    <xf numFmtId="0" fontId="2" fillId="3" borderId="0" xfId="0" applyFont="1" applyFill="1"/>
  </cellXfs>
  <cellStyles count="2">
    <cellStyle name="Hyperlink" xfId="1" builtinId="8"/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E2E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vani Sethi" refreshedDate="46265.825546643522" createdVersion="8" refreshedVersion="8" minRefreshableVersion="3" recordCount="300" xr:uid="{0FFF8703-095B-47C4-AD7C-DC8500548626}">
  <cacheSource type="worksheet">
    <worksheetSource name="tbl_HR_Data"/>
  </cacheSource>
  <cacheFields count="24">
    <cacheField name="Employee_ID" numFmtId="0">
      <sharedItems count="300">
        <s v="EMP1001"/>
        <s v="EMP1002"/>
        <s v="EMP1003"/>
        <s v="EMP1004"/>
        <s v="EMP1005"/>
        <s v="EMP1006"/>
        <s v="EMP1007"/>
        <s v="EMP1008"/>
        <s v="EMP1009"/>
        <s v="EMP1010"/>
        <s v="EMP1011"/>
        <s v="EMP1012"/>
        <s v="EMP1013"/>
        <s v="EMP1014"/>
        <s v="EMP1015"/>
        <s v="EMP1016"/>
        <s v="EMP1017"/>
        <s v="EMP1018"/>
        <s v="EMP1019"/>
        <s v="EMP1020"/>
        <s v="EMP1021"/>
        <s v="EMP1022"/>
        <s v="EMP1023"/>
        <s v="EMP1024"/>
        <s v="EMP1025"/>
        <s v="EMP1026"/>
        <s v="EMP1027"/>
        <s v="EMP1028"/>
        <s v="EMP1029"/>
        <s v="EMP1030"/>
        <s v="EMP1031"/>
        <s v="EMP1032"/>
        <s v="EMP1033"/>
        <s v="EMP1034"/>
        <s v="EMP1035"/>
        <s v="EMP1036"/>
        <s v="EMP1037"/>
        <s v="EMP1038"/>
        <s v="EMP1039"/>
        <s v="EMP1040"/>
        <s v="EMP1041"/>
        <s v="EMP1042"/>
        <s v="EMP1043"/>
        <s v="EMP1044"/>
        <s v="EMP1045"/>
        <s v="EMP1046"/>
        <s v="EMP1047"/>
        <s v="EMP1048"/>
        <s v="EMP1049"/>
        <s v="EMP1050"/>
        <s v="EMP1051"/>
        <s v="EMP1052"/>
        <s v="EMP1053"/>
        <s v="EMP1054"/>
        <s v="EMP1055"/>
        <s v="EMP1056"/>
        <s v="EMP1057"/>
        <s v="EMP1058"/>
        <s v="EMP1059"/>
        <s v="EMP1060"/>
        <s v="EMP1061"/>
        <s v="EMP1062"/>
        <s v="EMP1063"/>
        <s v="EMP1064"/>
        <s v="EMP1065"/>
        <s v="EMP1066"/>
        <s v="EMP1067"/>
        <s v="EMP1068"/>
        <s v="EMP1069"/>
        <s v="EMP1070"/>
        <s v="EMP1071"/>
        <s v="EMP1072"/>
        <s v="EMP1073"/>
        <s v="EMP1074"/>
        <s v="EMP1075"/>
        <s v="EMP1076"/>
        <s v="EMP1077"/>
        <s v="EMP1078"/>
        <s v="EMP1079"/>
        <s v="EMP1080"/>
        <s v="EMP1081"/>
        <s v="EMP1082"/>
        <s v="EMP1083"/>
        <s v="EMP1084"/>
        <s v="EMP1085"/>
        <s v="EMP1086"/>
        <s v="EMP1087"/>
        <s v="EMP1088"/>
        <s v="EMP1089"/>
        <s v="EMP1090"/>
        <s v="EMP1091"/>
        <s v="EMP1092"/>
        <s v="EMP1093"/>
        <s v="EMP1094"/>
        <s v="EMP1095"/>
        <s v="EMP1096"/>
        <s v="EMP1097"/>
        <s v="EMP1098"/>
        <s v="EMP1099"/>
        <s v="EMP1100"/>
        <s v="EMP1101"/>
        <s v="EMP1102"/>
        <s v="EMP1103"/>
        <s v="EMP1104"/>
        <s v="EMP1105"/>
        <s v="EMP1106"/>
        <s v="EMP1107"/>
        <s v="EMP1108"/>
        <s v="EMP1109"/>
        <s v="EMP1110"/>
        <s v="EMP1111"/>
        <s v="EMP1112"/>
        <s v="EMP1113"/>
        <s v="EMP1114"/>
        <s v="EMP1115"/>
        <s v="EMP1116"/>
        <s v="EMP1117"/>
        <s v="EMP1118"/>
        <s v="EMP1119"/>
        <s v="EMP1120"/>
        <s v="EMP1121"/>
        <s v="EMP1122"/>
        <s v="EMP1123"/>
        <s v="EMP1124"/>
        <s v="EMP1125"/>
        <s v="EMP1126"/>
        <s v="EMP1127"/>
        <s v="EMP1128"/>
        <s v="EMP1129"/>
        <s v="EMP1130"/>
        <s v="EMP1131"/>
        <s v="EMP1132"/>
        <s v="EMP1133"/>
        <s v="EMP1134"/>
        <s v="EMP1135"/>
        <s v="EMP1136"/>
        <s v="EMP1137"/>
        <s v="EMP1138"/>
        <s v="EMP1139"/>
        <s v="EMP1140"/>
        <s v="EMP1141"/>
        <s v="EMP1142"/>
        <s v="EMP1143"/>
        <s v="EMP1144"/>
        <s v="EMP1145"/>
        <s v="EMP1146"/>
        <s v="EMP1147"/>
        <s v="EMP1148"/>
        <s v="EMP1149"/>
        <s v="EMP1150"/>
        <s v="EMP1151"/>
        <s v="EMP1152"/>
        <s v="EMP1153"/>
        <s v="EMP1154"/>
        <s v="EMP1155"/>
        <s v="EMP1156"/>
        <s v="EMP1157"/>
        <s v="EMP1158"/>
        <s v="EMP1159"/>
        <s v="EMP1160"/>
        <s v="EMP1161"/>
        <s v="EMP1162"/>
        <s v="EMP1163"/>
        <s v="EMP1164"/>
        <s v="EMP1165"/>
        <s v="EMP1166"/>
        <s v="EMP1167"/>
        <s v="EMP1168"/>
        <s v="EMP1169"/>
        <s v="EMP1170"/>
        <s v="EMP1171"/>
        <s v="EMP1172"/>
        <s v="EMP1173"/>
        <s v="EMP1174"/>
        <s v="EMP1175"/>
        <s v="EMP1176"/>
        <s v="EMP1177"/>
        <s v="EMP1178"/>
        <s v="EMP1179"/>
        <s v="EMP1180"/>
        <s v="EMP1181"/>
        <s v="EMP1182"/>
        <s v="EMP1183"/>
        <s v="EMP1184"/>
        <s v="EMP1185"/>
        <s v="EMP1186"/>
        <s v="EMP1187"/>
        <s v="EMP1188"/>
        <s v="EMP1189"/>
        <s v="EMP1190"/>
        <s v="EMP1191"/>
        <s v="EMP1192"/>
        <s v="EMP1193"/>
        <s v="EMP1194"/>
        <s v="EMP1195"/>
        <s v="EMP1196"/>
        <s v="EMP1197"/>
        <s v="EMP1198"/>
        <s v="EMP1199"/>
        <s v="EMP1200"/>
        <s v="EMP1201"/>
        <s v="EMP1202"/>
        <s v="EMP1203"/>
        <s v="EMP1204"/>
        <s v="EMP1205"/>
        <s v="EMP1206"/>
        <s v="EMP1207"/>
        <s v="EMP1208"/>
        <s v="EMP1209"/>
        <s v="EMP1210"/>
        <s v="EMP1211"/>
        <s v="EMP1212"/>
        <s v="EMP1213"/>
        <s v="EMP1214"/>
        <s v="EMP1215"/>
        <s v="EMP1216"/>
        <s v="EMP1217"/>
        <s v="EMP1218"/>
        <s v="EMP1219"/>
        <s v="EMP1220"/>
        <s v="EMP1221"/>
        <s v="EMP1222"/>
        <s v="EMP1223"/>
        <s v="EMP1224"/>
        <s v="EMP1225"/>
        <s v="EMP1226"/>
        <s v="EMP1227"/>
        <s v="EMP1228"/>
        <s v="EMP1229"/>
        <s v="EMP1230"/>
        <s v="EMP1231"/>
        <s v="EMP1232"/>
        <s v="EMP1233"/>
        <s v="EMP1234"/>
        <s v="EMP1235"/>
        <s v="EMP1236"/>
        <s v="EMP1237"/>
        <s v="EMP1238"/>
        <s v="EMP1239"/>
        <s v="EMP1240"/>
        <s v="EMP1241"/>
        <s v="EMP1242"/>
        <s v="EMP1243"/>
        <s v="EMP1244"/>
        <s v="EMP1245"/>
        <s v="EMP1246"/>
        <s v="EMP1247"/>
        <s v="EMP1248"/>
        <s v="EMP1249"/>
        <s v="EMP1250"/>
        <s v="EMP1251"/>
        <s v="EMP1252"/>
        <s v="EMP1253"/>
        <s v="EMP1254"/>
        <s v="EMP1255"/>
        <s v="EMP1256"/>
        <s v="EMP1257"/>
        <s v="EMP1258"/>
        <s v="EMP1259"/>
        <s v="EMP1260"/>
        <s v="EMP1261"/>
        <s v="EMP1262"/>
        <s v="EMP1263"/>
        <s v="EMP1264"/>
        <s v="EMP1265"/>
        <s v="EMP1266"/>
        <s v="EMP1267"/>
        <s v="EMP1268"/>
        <s v="EMP1269"/>
        <s v="EMP1270"/>
        <s v="EMP1271"/>
        <s v="EMP1272"/>
        <s v="EMP1273"/>
        <s v="EMP1274"/>
        <s v="EMP1275"/>
        <s v="EMP1276"/>
        <s v="EMP1277"/>
        <s v="EMP1278"/>
        <s v="EMP1279"/>
        <s v="EMP1280"/>
        <s v="EMP1281"/>
        <s v="EMP1282"/>
        <s v="EMP1283"/>
        <s v="EMP1284"/>
        <s v="EMP1285"/>
        <s v="EMP1286"/>
        <s v="EMP1287"/>
        <s v="EMP1288"/>
        <s v="EMP1289"/>
        <s v="EMP1290"/>
        <s v="EMP1291"/>
        <s v="EMP1292"/>
        <s v="EMP1293"/>
        <s v="EMP1294"/>
        <s v="EMP1295"/>
        <s v="EMP1296"/>
        <s v="EMP1297"/>
        <s v="EMP1298"/>
        <s v="EMP1299"/>
        <s v="EMP1300"/>
      </sharedItems>
    </cacheField>
    <cacheField name="Join_Date" numFmtId="164">
      <sharedItems containsSemiMixedTypes="0" containsNonDate="0" containsDate="1" containsString="0" minDate="2021-01-18T00:00:00" maxDate="2025-12-27T00:00:00"/>
    </cacheField>
    <cacheField name="Department" numFmtId="0">
      <sharedItems/>
    </cacheField>
    <cacheField name="Gender" numFmtId="0">
      <sharedItems/>
    </cacheField>
    <cacheField name="Age" numFmtId="1">
      <sharedItems containsSemiMixedTypes="0" containsString="0" containsNumber="1" containsInteger="1" minValue="21" maxValue="60"/>
    </cacheField>
    <cacheField name="Employment_Type" numFmtId="0">
      <sharedItems/>
    </cacheField>
    <cacheField name="Job_Level" numFmtId="0">
      <sharedItems/>
    </cacheField>
    <cacheField name="Location" numFmtId="0">
      <sharedItems/>
    </cacheField>
    <cacheField name="Experience_Years" numFmtId="165">
      <sharedItems containsSemiMixedTypes="0" containsString="0" containsNumber="1" minValue="0" maxValue="35"/>
    </cacheField>
    <cacheField name="Salary" numFmtId="166">
      <sharedItems containsSemiMixedTypes="0" containsString="0" containsNumber="1" containsInteger="1" minValue="25000" maxValue="205000"/>
    </cacheField>
    <cacheField name="Bonus" numFmtId="166">
      <sharedItems containsSemiMixedTypes="0" containsString="0" containsNumber="1" containsInteger="1" minValue="700" maxValue="23100"/>
    </cacheField>
    <cacheField name="Performance_Rating" numFmtId="165">
      <sharedItems containsSemiMixedTypes="0" containsString="0" containsNumber="1" minValue="1.7" maxValue="5"/>
    </cacheField>
    <cacheField name="Training_Hours" numFmtId="1">
      <sharedItems containsSemiMixedTypes="0" containsString="0" containsNumber="1" containsInteger="1" minValue="5" maxValue="40"/>
    </cacheField>
    <cacheField name="Leave_Days" numFmtId="1">
      <sharedItems containsSemiMixedTypes="0" containsString="0" containsNumber="1" containsInteger="1" minValue="2" maxValue="24"/>
    </cacheField>
    <cacheField name="Overtime_Hours" numFmtId="1">
      <sharedItems containsSemiMixedTypes="0" containsString="0" containsNumber="1" containsInteger="1" minValue="0" maxValue="30"/>
    </cacheField>
    <cacheField name="Job_Satisfaction" numFmtId="165">
      <sharedItems containsSemiMixedTypes="0" containsString="0" containsNumber="1" minValue="1.2" maxValue="5"/>
    </cacheField>
    <cacheField name="Attrition" numFmtId="0">
      <sharedItems/>
    </cacheField>
    <cacheField name="Promotion_Eligible" numFmtId="0">
      <sharedItems/>
    </cacheField>
    <cacheField name="Recruitment_Source" numFmtId="0">
      <sharedItems/>
    </cacheField>
    <cacheField name="Last_Promotion_Date" numFmtId="164">
      <sharedItems containsSemiMixedTypes="0" containsNonDate="0" containsDate="1" containsString="0" minDate="2022-01-01T00:00:00" maxDate="2026-07-01T00:00:00"/>
    </cacheField>
    <cacheField name="Pre_Training_Performance" numFmtId="165">
      <sharedItems containsSemiMixedTypes="0" containsString="0" containsNumber="1" minValue="1.6" maxValue="5"/>
    </cacheField>
    <cacheField name="Post_Training_Performance" numFmtId="165">
      <sharedItems containsSemiMixedTypes="0" containsString="0" containsNumber="1" minValue="1.8" maxValue="5"/>
    </cacheField>
    <cacheField name="Join_Month" numFmtId="0">
      <sharedItems count="12">
        <s v="May"/>
        <s v="September"/>
        <s v="August"/>
        <s v="February"/>
        <s v="April"/>
        <s v="January"/>
        <s v="March"/>
        <s v="December"/>
        <s v="June"/>
        <s v="October"/>
        <s v="November"/>
        <s v="July"/>
      </sharedItems>
    </cacheField>
    <cacheField name="Employee_Code_Excel" numFmtId="0">
      <sharedItems containsSemiMixedTypes="0" containsString="0" containsNumber="1" containsInteger="1" minValue="1001" maxValue="1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d v="2022-05-01T00:00:00"/>
    <s v="Finance"/>
    <s v="Male"/>
    <n v="52"/>
    <s v="Full-Time"/>
    <s v="Mid-Level"/>
    <s v="Delhi"/>
    <n v="26.9"/>
    <n v="123100"/>
    <n v="8500"/>
    <n v="4"/>
    <n v="35"/>
    <n v="9"/>
    <n v="30"/>
    <n v="4.7"/>
    <s v="No"/>
    <s v="Yes"/>
    <s v="Job Portal"/>
    <d v="2025-06-26T00:00:00"/>
    <n v="3.7"/>
    <n v="4.2"/>
    <x v="0"/>
    <n v="1001"/>
  </r>
  <r>
    <x v="1"/>
    <d v="2022-09-25T00:00:00"/>
    <s v="HR"/>
    <s v="Male"/>
    <n v="43"/>
    <s v="Full-Time"/>
    <s v="Senior"/>
    <s v="Delhi"/>
    <n v="19.2"/>
    <n v="102500"/>
    <n v="11600"/>
    <n v="3"/>
    <n v="20"/>
    <n v="16"/>
    <n v="8"/>
    <n v="3.5"/>
    <s v="No"/>
    <s v="No"/>
    <s v="Company Website"/>
    <d v="2025-09-19T00:00:00"/>
    <n v="2.8"/>
    <n v="3"/>
    <x v="1"/>
    <n v="1002"/>
  </r>
  <r>
    <x v="2"/>
    <d v="2023-08-21T00:00:00"/>
    <s v="Sales"/>
    <s v="Male"/>
    <n v="32"/>
    <s v="Full-Time"/>
    <s v="Senior"/>
    <s v="Bengaluru"/>
    <n v="14.3"/>
    <n v="108400"/>
    <n v="11600"/>
    <n v="4.2"/>
    <n v="5"/>
    <n v="13"/>
    <n v="13"/>
    <n v="3.6"/>
    <s v="No"/>
    <s v="Yes"/>
    <s v="LinkedIn"/>
    <d v="2025-05-16T00:00:00"/>
    <n v="3.3"/>
    <n v="3.7"/>
    <x v="2"/>
    <n v="1003"/>
  </r>
  <r>
    <x v="3"/>
    <d v="2023-02-06T00:00:00"/>
    <s v="Operations"/>
    <s v="Female"/>
    <n v="52"/>
    <s v="Full-Time"/>
    <s v="Manager"/>
    <s v="Delhi"/>
    <n v="28.6"/>
    <n v="170900"/>
    <n v="16500"/>
    <n v="3.4"/>
    <n v="15"/>
    <n v="12"/>
    <n v="24"/>
    <n v="4.9000000000000004"/>
    <s v="No"/>
    <s v="No"/>
    <s v="Campus"/>
    <d v="2023-10-14T00:00:00"/>
    <n v="4.0999999999999996"/>
    <n v="4.5999999999999996"/>
    <x v="3"/>
    <n v="1004"/>
  </r>
  <r>
    <x v="4"/>
    <d v="2024-04-07T00:00:00"/>
    <s v="Operations"/>
    <s v="Female"/>
    <n v="22"/>
    <s v="Full-Time"/>
    <s v="Mid-Level"/>
    <s v="Bengaluru"/>
    <n v="1.6"/>
    <n v="50300"/>
    <n v="5700"/>
    <n v="3.3"/>
    <n v="20"/>
    <n v="15"/>
    <n v="8"/>
    <n v="4.2"/>
    <s v="No"/>
    <s v="No"/>
    <s v="LinkedIn"/>
    <d v="2026-06-30T00:00:00"/>
    <n v="3"/>
    <n v="3.1"/>
    <x v="4"/>
    <n v="1005"/>
  </r>
  <r>
    <x v="5"/>
    <d v="2022-04-27T00:00:00"/>
    <s v="Operations"/>
    <s v="Male"/>
    <n v="41"/>
    <s v="Full-Time"/>
    <s v="Senior"/>
    <s v="Chennai"/>
    <n v="19.2"/>
    <n v="121800"/>
    <n v="7100"/>
    <n v="3.3"/>
    <n v="26"/>
    <n v="17"/>
    <n v="27"/>
    <n v="3"/>
    <s v="No"/>
    <s v="No"/>
    <s v="Campus"/>
    <d v="2024-05-06T00:00:00"/>
    <n v="2.9"/>
    <n v="3.6"/>
    <x v="4"/>
    <n v="1006"/>
  </r>
  <r>
    <x v="6"/>
    <d v="2024-01-16T00:00:00"/>
    <s v="Marketing"/>
    <s v="Female"/>
    <n v="32"/>
    <s v="Full-Time"/>
    <s v="Mid-Level"/>
    <s v="Chennai"/>
    <n v="3.9"/>
    <n v="50600"/>
    <n v="1200"/>
    <n v="1.7"/>
    <n v="12"/>
    <n v="11"/>
    <n v="2"/>
    <n v="5"/>
    <s v="No"/>
    <s v="No"/>
    <s v="LinkedIn"/>
    <d v="2025-12-02T00:00:00"/>
    <n v="4.2"/>
    <n v="4"/>
    <x v="5"/>
    <n v="1007"/>
  </r>
  <r>
    <x v="7"/>
    <d v="2024-03-18T00:00:00"/>
    <s v="Marketing"/>
    <s v="Male"/>
    <n v="27"/>
    <s v="Part-Time"/>
    <s v="Junior"/>
    <s v="Hyderabad"/>
    <n v="7.6"/>
    <n v="52500"/>
    <n v="1500"/>
    <n v="2.8"/>
    <n v="33"/>
    <n v="5"/>
    <n v="17"/>
    <n v="4.0999999999999996"/>
    <s v="No"/>
    <s v="No"/>
    <s v="Campus"/>
    <d v="2026-06-30T00:00:00"/>
    <n v="2.7"/>
    <n v="2.6"/>
    <x v="6"/>
    <n v="1008"/>
  </r>
  <r>
    <x v="8"/>
    <d v="2024-12-02T00:00:00"/>
    <s v="IT"/>
    <s v="Male"/>
    <n v="49"/>
    <s v="Full-Time"/>
    <s v="Mid-Level"/>
    <s v="Pune"/>
    <n v="28.8"/>
    <n v="143300"/>
    <n v="7900"/>
    <n v="4.3"/>
    <n v="31"/>
    <n v="14"/>
    <n v="9"/>
    <n v="3.3"/>
    <s v="No"/>
    <s v="Yes"/>
    <s v="LinkedIn"/>
    <d v="2026-06-30T00:00:00"/>
    <n v="2.8"/>
    <n v="3.2"/>
    <x v="7"/>
    <n v="1009"/>
  </r>
  <r>
    <x v="9"/>
    <d v="2023-01-14T00:00:00"/>
    <s v="Operations"/>
    <s v="Male"/>
    <n v="22"/>
    <s v="Contract"/>
    <s v="Mid-Level"/>
    <s v="Pune"/>
    <n v="0.3"/>
    <n v="32600"/>
    <n v="2700"/>
    <n v="4.0999999999999996"/>
    <n v="8"/>
    <n v="10"/>
    <n v="4"/>
    <n v="4.5"/>
    <s v="No"/>
    <s v="No"/>
    <s v="LinkedIn"/>
    <d v="2023-08-10T00:00:00"/>
    <n v="3.1"/>
    <n v="3.1"/>
    <x v="5"/>
    <n v="1010"/>
  </r>
  <r>
    <x v="10"/>
    <d v="2021-06-09T00:00:00"/>
    <s v="Marketing"/>
    <s v="Female"/>
    <n v="24"/>
    <s v="Full-Time"/>
    <s v="Mid-Level"/>
    <s v="Pune"/>
    <n v="4.7"/>
    <n v="56100"/>
    <n v="2000"/>
    <n v="3.1"/>
    <n v="8"/>
    <n v="9"/>
    <n v="18"/>
    <n v="3.6"/>
    <s v="Yes"/>
    <s v="No"/>
    <s v="Campus"/>
    <d v="2023-12-03T00:00:00"/>
    <n v="3.1"/>
    <n v="3.3"/>
    <x v="8"/>
    <n v="1011"/>
  </r>
  <r>
    <x v="11"/>
    <d v="2022-10-19T00:00:00"/>
    <s v="Marketing"/>
    <s v="Female"/>
    <n v="56"/>
    <s v="Full-Time"/>
    <s v="Senior"/>
    <s v="Hyderabad"/>
    <n v="27.5"/>
    <n v="134700"/>
    <n v="11000"/>
    <n v="3"/>
    <n v="11"/>
    <n v="7"/>
    <n v="3"/>
    <n v="4"/>
    <s v="No"/>
    <s v="No"/>
    <s v="Employee Referral"/>
    <d v="2025-12-01T00:00:00"/>
    <n v="4"/>
    <n v="4.4000000000000004"/>
    <x v="9"/>
    <n v="1012"/>
  </r>
  <r>
    <x v="12"/>
    <d v="2025-01-03T00:00:00"/>
    <s v="HR"/>
    <s v="Male"/>
    <n v="28"/>
    <s v="Full-Time"/>
    <s v="Manager"/>
    <s v="Delhi"/>
    <n v="1.8"/>
    <n v="65600"/>
    <n v="6800"/>
    <n v="4.5999999999999996"/>
    <n v="14"/>
    <n v="16"/>
    <n v="3"/>
    <n v="4"/>
    <s v="No"/>
    <s v="No"/>
    <s v="Employee Referral"/>
    <d v="2026-06-30T00:00:00"/>
    <n v="3.4"/>
    <n v="4"/>
    <x v="5"/>
    <n v="1013"/>
  </r>
  <r>
    <x v="13"/>
    <d v="2021-12-15T00:00:00"/>
    <s v="Operations"/>
    <s v="Male"/>
    <n v="37"/>
    <s v="Full-Time"/>
    <s v="Junior"/>
    <s v="Mumbai"/>
    <n v="8.6"/>
    <n v="65400"/>
    <n v="5800"/>
    <n v="3.4"/>
    <n v="16"/>
    <n v="13"/>
    <n v="1"/>
    <n v="4.4000000000000004"/>
    <s v="No"/>
    <s v="No"/>
    <s v="Company Website"/>
    <d v="2025-08-30T00:00:00"/>
    <n v="3.6"/>
    <n v="3.9"/>
    <x v="7"/>
    <n v="1014"/>
  </r>
  <r>
    <x v="14"/>
    <d v="2021-09-30T00:00:00"/>
    <s v="IT"/>
    <s v="Female"/>
    <n v="53"/>
    <s v="Full-Time"/>
    <s v="Senior"/>
    <s v="Delhi"/>
    <n v="30.9"/>
    <n v="153300"/>
    <n v="3600"/>
    <n v="3.5"/>
    <n v="19"/>
    <n v="10"/>
    <n v="3"/>
    <n v="4.0999999999999996"/>
    <s v="No"/>
    <s v="No"/>
    <s v="Job Portal"/>
    <d v="2023-07-02T00:00:00"/>
    <n v="2"/>
    <n v="2"/>
    <x v="1"/>
    <n v="1015"/>
  </r>
  <r>
    <x v="15"/>
    <d v="2025-04-01T00:00:00"/>
    <s v="Sales"/>
    <s v="Male"/>
    <n v="56"/>
    <s v="Full-Time"/>
    <s v="Junior"/>
    <s v="Pune"/>
    <n v="30.5"/>
    <n v="132500"/>
    <n v="11100"/>
    <n v="3.2"/>
    <n v="6"/>
    <n v="10"/>
    <n v="4"/>
    <n v="3.1"/>
    <s v="No"/>
    <s v="No"/>
    <s v="Employee Referral"/>
    <d v="2026-06-30T00:00:00"/>
    <n v="4.3"/>
    <n v="4.7"/>
    <x v="4"/>
    <n v="1016"/>
  </r>
  <r>
    <x v="16"/>
    <d v="2025-01-25T00:00:00"/>
    <s v="Finance"/>
    <s v="Female"/>
    <n v="37"/>
    <s v="Full-Time"/>
    <s v="Junior"/>
    <s v="Hyderabad"/>
    <n v="19.899999999999999"/>
    <n v="108100"/>
    <n v="3700"/>
    <n v="3.3"/>
    <n v="32"/>
    <n v="15"/>
    <n v="30"/>
    <n v="4.7"/>
    <s v="No"/>
    <s v="No"/>
    <s v="LinkedIn"/>
    <d v="2026-06-30T00:00:00"/>
    <n v="2.6"/>
    <n v="3.3"/>
    <x v="5"/>
    <n v="1017"/>
  </r>
  <r>
    <x v="17"/>
    <d v="2024-04-19T00:00:00"/>
    <s v="Sales"/>
    <s v="Female"/>
    <n v="56"/>
    <s v="Full-Time"/>
    <s v="Manager"/>
    <s v="Mumbai"/>
    <n v="35"/>
    <n v="205000"/>
    <n v="23100"/>
    <n v="3.1"/>
    <n v="39"/>
    <n v="10"/>
    <n v="29"/>
    <n v="3.5"/>
    <s v="Yes"/>
    <s v="No"/>
    <s v="Employee Referral"/>
    <d v="2026-06-30T00:00:00"/>
    <n v="3.1"/>
    <n v="3.6"/>
    <x v="4"/>
    <n v="1018"/>
  </r>
  <r>
    <x v="18"/>
    <d v="2024-08-11T00:00:00"/>
    <s v="Marketing"/>
    <s v="Male"/>
    <n v="38"/>
    <s v="Full-Time"/>
    <s v="Junior"/>
    <s v="Hyderabad"/>
    <n v="16"/>
    <n v="92500"/>
    <n v="3500"/>
    <n v="4"/>
    <n v="22"/>
    <n v="9"/>
    <n v="6"/>
    <n v="3.7"/>
    <s v="No"/>
    <s v="Yes"/>
    <s v="Campus"/>
    <d v="2025-02-28T00:00:00"/>
    <n v="3.6"/>
    <n v="4.5"/>
    <x v="2"/>
    <n v="1019"/>
  </r>
  <r>
    <x v="19"/>
    <d v="2021-09-01T00:00:00"/>
    <s v="Finance"/>
    <s v="Male"/>
    <n v="43"/>
    <s v="Contract"/>
    <s v="Junior"/>
    <s v="Chennai"/>
    <n v="19.5"/>
    <n v="108500"/>
    <n v="3600"/>
    <n v="4.4000000000000004"/>
    <n v="36"/>
    <n v="14"/>
    <n v="5"/>
    <n v="3.4"/>
    <s v="No"/>
    <s v="Yes"/>
    <s v="Job Portal"/>
    <d v="2023-08-28T00:00:00"/>
    <n v="3.3"/>
    <n v="3.4"/>
    <x v="1"/>
    <n v="1020"/>
  </r>
  <r>
    <x v="20"/>
    <d v="2021-12-11T00:00:00"/>
    <s v="Sales"/>
    <s v="Female"/>
    <n v="28"/>
    <s v="Contract"/>
    <s v="Mid-Level"/>
    <s v="Pune"/>
    <n v="5.9"/>
    <n v="64900"/>
    <n v="3300"/>
    <n v="4.3"/>
    <n v="36"/>
    <n v="16"/>
    <n v="15"/>
    <n v="4.0999999999999996"/>
    <s v="Yes"/>
    <s v="Yes"/>
    <s v="Company Website"/>
    <d v="2025-09-12T00:00:00"/>
    <n v="2.4"/>
    <n v="2.6"/>
    <x v="7"/>
    <n v="1021"/>
  </r>
  <r>
    <x v="21"/>
    <d v="2025-11-12T00:00:00"/>
    <s v="Finance"/>
    <s v="Male"/>
    <n v="26"/>
    <s v="Full-Time"/>
    <s v="Junior"/>
    <s v="Chennai"/>
    <n v="5.0999999999999996"/>
    <n v="51300"/>
    <n v="2500"/>
    <n v="2.2000000000000002"/>
    <n v="37"/>
    <n v="10"/>
    <n v="1"/>
    <n v="3.6"/>
    <s v="No"/>
    <s v="No"/>
    <s v="Company Website"/>
    <d v="2026-06-30T00:00:00"/>
    <n v="3.2"/>
    <n v="3.8"/>
    <x v="10"/>
    <n v="1022"/>
  </r>
  <r>
    <x v="22"/>
    <d v="2024-08-20T00:00:00"/>
    <s v="Marketing"/>
    <s v="Female"/>
    <n v="55"/>
    <s v="Full-Time"/>
    <s v="Senior"/>
    <s v="Mumbai"/>
    <n v="35"/>
    <n v="159200"/>
    <n v="9800"/>
    <n v="3.1"/>
    <n v="21"/>
    <n v="7"/>
    <n v="21"/>
    <n v="3.2"/>
    <s v="Yes"/>
    <s v="No"/>
    <s v="LinkedIn"/>
    <d v="2025-02-23T00:00:00"/>
    <n v="3"/>
    <n v="3.5"/>
    <x v="2"/>
    <n v="1023"/>
  </r>
  <r>
    <x v="23"/>
    <d v="2023-05-10T00:00:00"/>
    <s v="IT"/>
    <s v="Male"/>
    <n v="31"/>
    <s v="Full-Time"/>
    <s v="Mid-Level"/>
    <s v="Hyderabad"/>
    <n v="13.3"/>
    <n v="81700"/>
    <n v="2700"/>
    <n v="3.7"/>
    <n v="22"/>
    <n v="21"/>
    <n v="9"/>
    <n v="4.0999999999999996"/>
    <s v="No"/>
    <s v="No"/>
    <s v="LinkedIn"/>
    <d v="2026-01-23T00:00:00"/>
    <n v="3.8"/>
    <n v="4.2"/>
    <x v="0"/>
    <n v="1024"/>
  </r>
  <r>
    <x v="24"/>
    <d v="2024-06-10T00:00:00"/>
    <s v="Sales"/>
    <s v="Female"/>
    <n v="59"/>
    <s v="Full-Time"/>
    <s v="Mid-Level"/>
    <s v="Chennai"/>
    <n v="35"/>
    <n v="159800"/>
    <n v="15100"/>
    <n v="3.4"/>
    <n v="30"/>
    <n v="15"/>
    <n v="12"/>
    <n v="2.7"/>
    <s v="No"/>
    <s v="No"/>
    <s v="Employee Referral"/>
    <d v="2025-11-07T00:00:00"/>
    <n v="4"/>
    <n v="4.0999999999999996"/>
    <x v="8"/>
    <n v="1025"/>
  </r>
  <r>
    <x v="25"/>
    <d v="2022-03-24T00:00:00"/>
    <s v="Marketing"/>
    <s v="Male"/>
    <n v="53"/>
    <s v="Contract"/>
    <s v="Mid-Level"/>
    <s v="Delhi"/>
    <n v="28.5"/>
    <n v="129600"/>
    <n v="3800"/>
    <n v="2.7"/>
    <n v="34"/>
    <n v="24"/>
    <n v="8"/>
    <n v="3.6"/>
    <s v="No"/>
    <s v="No"/>
    <s v="Employee Referral"/>
    <d v="2025-06-05T00:00:00"/>
    <n v="3.9"/>
    <n v="4"/>
    <x v="6"/>
    <n v="1026"/>
  </r>
  <r>
    <x v="26"/>
    <d v="2023-10-14T00:00:00"/>
    <s v="Finance"/>
    <s v="Female"/>
    <n v="30"/>
    <s v="Full-Time"/>
    <s v="Mid-Level"/>
    <s v="Chennai"/>
    <n v="4.9000000000000004"/>
    <n v="46600"/>
    <n v="3600"/>
    <n v="3.8"/>
    <n v="34"/>
    <n v="11"/>
    <n v="9"/>
    <n v="3"/>
    <s v="No"/>
    <s v="No"/>
    <s v="Company Website"/>
    <d v="2025-12-10T00:00:00"/>
    <n v="3.4"/>
    <n v="3.9"/>
    <x v="9"/>
    <n v="1027"/>
  </r>
  <r>
    <x v="27"/>
    <d v="2023-06-23T00:00:00"/>
    <s v="HR"/>
    <s v="Male"/>
    <n v="33"/>
    <s v="Contract"/>
    <s v="Mid-Level"/>
    <s v="Mumbai"/>
    <n v="10.199999999999999"/>
    <n v="74200"/>
    <n v="6100"/>
    <n v="3.6"/>
    <n v="28"/>
    <n v="11"/>
    <n v="0"/>
    <n v="1.9"/>
    <s v="Yes"/>
    <s v="No"/>
    <s v="Campus"/>
    <d v="2024-07-23T00:00:00"/>
    <n v="4.5999999999999996"/>
    <n v="5"/>
    <x v="8"/>
    <n v="1028"/>
  </r>
  <r>
    <x v="28"/>
    <d v="2022-04-25T00:00:00"/>
    <s v="Finance"/>
    <s v="Female"/>
    <n v="31"/>
    <s v="Full-Time"/>
    <s v="Mid-Level"/>
    <s v="Delhi"/>
    <n v="4.8"/>
    <n v="56200"/>
    <n v="6200"/>
    <n v="5"/>
    <n v="12"/>
    <n v="8"/>
    <n v="2"/>
    <n v="3.4"/>
    <s v="No"/>
    <s v="Yes"/>
    <s v="Job Portal"/>
    <d v="2023-05-11T00:00:00"/>
    <n v="3.2"/>
    <n v="3.6"/>
    <x v="4"/>
    <n v="1029"/>
  </r>
  <r>
    <x v="29"/>
    <d v="2025-09-23T00:00:00"/>
    <s v="Marketing"/>
    <s v="Female"/>
    <n v="26"/>
    <s v="Full-Time"/>
    <s v="Senior"/>
    <s v="Bengaluru"/>
    <n v="0"/>
    <n v="38900"/>
    <n v="2200"/>
    <n v="4.2"/>
    <n v="26"/>
    <n v="14"/>
    <n v="2"/>
    <n v="5"/>
    <s v="No"/>
    <s v="No"/>
    <s v="LinkedIn"/>
    <d v="2026-06-30T00:00:00"/>
    <n v="2.6"/>
    <n v="2.7"/>
    <x v="1"/>
    <n v="1030"/>
  </r>
  <r>
    <x v="30"/>
    <d v="2024-01-04T00:00:00"/>
    <s v="Operations"/>
    <s v="Male"/>
    <n v="47"/>
    <s v="Full-Time"/>
    <s v="Mid-Level"/>
    <s v="Mumbai"/>
    <n v="17.5"/>
    <n v="102000"/>
    <n v="7300"/>
    <n v="2.9"/>
    <n v="9"/>
    <n v="6"/>
    <n v="6"/>
    <n v="5"/>
    <s v="No"/>
    <s v="No"/>
    <s v="LinkedIn"/>
    <d v="2024-07-11T00:00:00"/>
    <n v="4.4000000000000004"/>
    <n v="4.0999999999999996"/>
    <x v="5"/>
    <n v="1031"/>
  </r>
  <r>
    <x v="31"/>
    <d v="2025-12-26T00:00:00"/>
    <s v="Marketing"/>
    <s v="Female"/>
    <n v="28"/>
    <s v="Contract"/>
    <s v="Mid-Level"/>
    <s v="Bengaluru"/>
    <n v="0.2"/>
    <n v="28200"/>
    <n v="1800"/>
    <n v="3.4"/>
    <n v="33"/>
    <n v="12"/>
    <n v="21"/>
    <n v="3.9"/>
    <s v="No"/>
    <s v="No"/>
    <s v="Campus"/>
    <d v="2026-06-30T00:00:00"/>
    <n v="4.3"/>
    <n v="5"/>
    <x v="7"/>
    <n v="1032"/>
  </r>
  <r>
    <x v="32"/>
    <d v="2024-10-14T00:00:00"/>
    <s v="Finance"/>
    <s v="Female"/>
    <n v="60"/>
    <s v="Part-Time"/>
    <s v="Mid-Level"/>
    <s v="Delhi"/>
    <n v="34.700000000000003"/>
    <n v="148800"/>
    <n v="14900"/>
    <n v="3.9"/>
    <n v="29"/>
    <n v="15"/>
    <n v="7"/>
    <n v="2.5"/>
    <s v="Yes"/>
    <s v="No"/>
    <s v="LinkedIn"/>
    <d v="2026-06-30T00:00:00"/>
    <n v="4.0999999999999996"/>
    <n v="4.5"/>
    <x v="9"/>
    <n v="1033"/>
  </r>
  <r>
    <x v="33"/>
    <d v="2023-01-10T00:00:00"/>
    <s v="Operations"/>
    <s v="Male"/>
    <n v="30"/>
    <s v="Contract"/>
    <s v="Junior"/>
    <s v="Hyderabad"/>
    <n v="10"/>
    <n v="70500"/>
    <n v="5600"/>
    <n v="4.0999999999999996"/>
    <n v="6"/>
    <n v="11"/>
    <n v="9"/>
    <n v="2.6"/>
    <s v="No"/>
    <s v="Yes"/>
    <s v="Employee Referral"/>
    <d v="2026-03-09T00:00:00"/>
    <n v="2.8"/>
    <n v="2.9"/>
    <x v="5"/>
    <n v="1034"/>
  </r>
  <r>
    <x v="34"/>
    <d v="2022-06-09T00:00:00"/>
    <s v="Finance"/>
    <s v="Male"/>
    <n v="30"/>
    <s v="Full-Time"/>
    <s v="Mid-Level"/>
    <s v="Mumbai"/>
    <n v="5.2"/>
    <n v="44200"/>
    <n v="4600"/>
    <n v="2.5"/>
    <n v="25"/>
    <n v="9"/>
    <n v="12"/>
    <n v="4.0999999999999996"/>
    <s v="No"/>
    <s v="No"/>
    <s v="Job Portal"/>
    <d v="2024-04-13T00:00:00"/>
    <n v="4.0999999999999996"/>
    <n v="4.3"/>
    <x v="8"/>
    <n v="1035"/>
  </r>
  <r>
    <x v="35"/>
    <d v="2025-10-22T00:00:00"/>
    <s v="Sales"/>
    <s v="Female"/>
    <n v="38"/>
    <s v="Full-Time"/>
    <s v="Mid-Level"/>
    <s v="Bengaluru"/>
    <n v="15.9"/>
    <n v="93700"/>
    <n v="10100"/>
    <n v="3.1"/>
    <n v="27"/>
    <n v="8"/>
    <n v="20"/>
    <n v="4"/>
    <s v="No"/>
    <s v="No"/>
    <s v="Campus"/>
    <d v="2026-06-30T00:00:00"/>
    <n v="3.3"/>
    <n v="3.7"/>
    <x v="9"/>
    <n v="1036"/>
  </r>
  <r>
    <x v="36"/>
    <d v="2021-10-04T00:00:00"/>
    <s v="Operations"/>
    <s v="Female"/>
    <n v="46"/>
    <s v="Full-Time"/>
    <s v="Junior"/>
    <s v="Hyderabad"/>
    <n v="25.5"/>
    <n v="114900"/>
    <n v="5400"/>
    <n v="2.9"/>
    <n v="13"/>
    <n v="11"/>
    <n v="21"/>
    <n v="2.2000000000000002"/>
    <s v="No"/>
    <s v="No"/>
    <s v="Employee Referral"/>
    <d v="2025-06-06T00:00:00"/>
    <n v="3.7"/>
    <n v="3.9"/>
    <x v="9"/>
    <n v="1037"/>
  </r>
  <r>
    <x v="37"/>
    <d v="2022-01-15T00:00:00"/>
    <s v="Sales"/>
    <s v="Female"/>
    <n v="47"/>
    <s v="Part-Time"/>
    <s v="Mid-Level"/>
    <s v="Pune"/>
    <n v="20.9"/>
    <n v="103100"/>
    <n v="11600"/>
    <n v="2.5"/>
    <n v="35"/>
    <n v="15"/>
    <n v="3"/>
    <n v="4.2"/>
    <s v="No"/>
    <s v="No"/>
    <s v="Employee Referral"/>
    <d v="2025-04-04T00:00:00"/>
    <n v="2.8"/>
    <n v="3.3"/>
    <x v="5"/>
    <n v="1038"/>
  </r>
  <r>
    <x v="38"/>
    <d v="2025-09-07T00:00:00"/>
    <s v="IT"/>
    <s v="Male"/>
    <n v="31"/>
    <s v="Contract"/>
    <s v="Junior"/>
    <s v="Bengaluru"/>
    <n v="14.1"/>
    <n v="72300"/>
    <n v="4500"/>
    <n v="2.7"/>
    <n v="21"/>
    <n v="9"/>
    <n v="25"/>
    <n v="4.9000000000000004"/>
    <s v="No"/>
    <s v="No"/>
    <s v="LinkedIn"/>
    <d v="2026-06-30T00:00:00"/>
    <n v="3.7"/>
    <n v="3.8"/>
    <x v="1"/>
    <n v="1039"/>
  </r>
  <r>
    <x v="39"/>
    <d v="2021-08-08T00:00:00"/>
    <s v="Marketing"/>
    <s v="Male"/>
    <n v="26"/>
    <s v="Full-Time"/>
    <s v="Mid-Level"/>
    <s v="Chennai"/>
    <n v="6.8"/>
    <n v="59100"/>
    <n v="3900"/>
    <n v="4"/>
    <n v="33"/>
    <n v="12"/>
    <n v="3"/>
    <n v="3.5"/>
    <s v="No"/>
    <s v="Yes"/>
    <s v="Company Website"/>
    <d v="2024-08-26T00:00:00"/>
    <n v="3.3"/>
    <n v="3.7"/>
    <x v="2"/>
    <n v="1040"/>
  </r>
  <r>
    <x v="40"/>
    <d v="2021-01-28T00:00:00"/>
    <s v="Finance"/>
    <s v="Male"/>
    <n v="53"/>
    <s v="Contract"/>
    <s v="Junior"/>
    <s v="Chennai"/>
    <n v="29.9"/>
    <n v="130000"/>
    <n v="5100"/>
    <n v="2.9"/>
    <n v="16"/>
    <n v="18"/>
    <n v="13"/>
    <n v="3"/>
    <s v="No"/>
    <s v="No"/>
    <s v="Job Portal"/>
    <d v="2022-02-11T00:00:00"/>
    <n v="3.1"/>
    <n v="3.6"/>
    <x v="5"/>
    <n v="1041"/>
  </r>
  <r>
    <x v="41"/>
    <d v="2025-01-30T00:00:00"/>
    <s v="Operations"/>
    <s v="Female"/>
    <n v="46"/>
    <s v="Full-Time"/>
    <s v="Mid-Level"/>
    <s v="Chennai"/>
    <n v="23.2"/>
    <n v="114200"/>
    <n v="10900"/>
    <n v="3.6"/>
    <n v="13"/>
    <n v="8"/>
    <n v="18"/>
    <n v="2.7"/>
    <s v="No"/>
    <s v="No"/>
    <s v="LinkedIn"/>
    <d v="2026-06-30T00:00:00"/>
    <n v="4.4000000000000004"/>
    <n v="4.8"/>
    <x v="5"/>
    <n v="1042"/>
  </r>
  <r>
    <x v="42"/>
    <d v="2025-10-20T00:00:00"/>
    <s v="Finance"/>
    <s v="Female"/>
    <n v="21"/>
    <s v="Full-Time"/>
    <s v="Mid-Level"/>
    <s v="Hyderabad"/>
    <n v="0"/>
    <n v="34600"/>
    <n v="2100"/>
    <n v="4"/>
    <n v="7"/>
    <n v="14"/>
    <n v="3"/>
    <n v="3.7"/>
    <s v="Yes"/>
    <s v="No"/>
    <s v="Job Portal"/>
    <d v="2026-06-30T00:00:00"/>
    <n v="2.5"/>
    <n v="2.9"/>
    <x v="9"/>
    <n v="1043"/>
  </r>
  <r>
    <x v="43"/>
    <d v="2023-01-24T00:00:00"/>
    <s v="Sales"/>
    <s v="Male"/>
    <n v="22"/>
    <s v="Full-Time"/>
    <s v="Junior"/>
    <s v="Bengaluru"/>
    <n v="0"/>
    <n v="32600"/>
    <n v="3700"/>
    <n v="2.9"/>
    <n v="28"/>
    <n v="14"/>
    <n v="26"/>
    <n v="3.2"/>
    <s v="No"/>
    <s v="No"/>
    <s v="Campus"/>
    <d v="2025-02-01T00:00:00"/>
    <n v="2.1"/>
    <n v="2.5"/>
    <x v="5"/>
    <n v="1044"/>
  </r>
  <r>
    <x v="44"/>
    <d v="2022-11-30T00:00:00"/>
    <s v="Finance"/>
    <s v="Female"/>
    <n v="46"/>
    <s v="Full-Time"/>
    <s v="Mid-Level"/>
    <s v="Mumbai"/>
    <n v="23.2"/>
    <n v="117200"/>
    <n v="4000"/>
    <n v="3.8"/>
    <n v="9"/>
    <n v="9"/>
    <n v="24"/>
    <n v="3.2"/>
    <s v="No"/>
    <s v="No"/>
    <s v="Company Website"/>
    <d v="2026-02-25T00:00:00"/>
    <n v="3.8"/>
    <n v="4.0999999999999996"/>
    <x v="10"/>
    <n v="1045"/>
  </r>
  <r>
    <x v="45"/>
    <d v="2024-11-02T00:00:00"/>
    <s v="IT"/>
    <s v="Male"/>
    <n v="42"/>
    <s v="Full-Time"/>
    <s v="Junior"/>
    <s v="Mumbai"/>
    <n v="23"/>
    <n v="113100"/>
    <n v="10800"/>
    <n v="3.6"/>
    <n v="18"/>
    <n v="7"/>
    <n v="21"/>
    <n v="4.9000000000000004"/>
    <s v="No"/>
    <s v="No"/>
    <s v="Campus"/>
    <d v="2025-09-16T00:00:00"/>
    <n v="3.9"/>
    <n v="4.3"/>
    <x v="10"/>
    <n v="1046"/>
  </r>
  <r>
    <x v="46"/>
    <d v="2025-03-12T00:00:00"/>
    <s v="HR"/>
    <s v="Female"/>
    <n v="46"/>
    <s v="Full-Time"/>
    <s v="Junior"/>
    <s v="Bengaluru"/>
    <n v="23"/>
    <n v="101900"/>
    <n v="3900"/>
    <n v="3.6"/>
    <n v="30"/>
    <n v="18"/>
    <n v="9"/>
    <n v="3.5"/>
    <s v="No"/>
    <s v="No"/>
    <s v="Company Website"/>
    <d v="2026-06-30T00:00:00"/>
    <n v="3.5"/>
    <n v="3.6"/>
    <x v="6"/>
    <n v="1047"/>
  </r>
  <r>
    <x v="47"/>
    <d v="2023-03-04T00:00:00"/>
    <s v="IT"/>
    <s v="Male"/>
    <n v="48"/>
    <s v="Full-Time"/>
    <s v="Junior"/>
    <s v="Mumbai"/>
    <n v="25.3"/>
    <n v="116500"/>
    <n v="7200"/>
    <n v="3.6"/>
    <n v="17"/>
    <n v="13"/>
    <n v="24"/>
    <n v="4.5"/>
    <s v="Yes"/>
    <s v="No"/>
    <s v="Employee Referral"/>
    <d v="2023-09-27T00:00:00"/>
    <n v="3.4"/>
    <n v="3.6"/>
    <x v="6"/>
    <n v="1048"/>
  </r>
  <r>
    <x v="48"/>
    <d v="2023-08-29T00:00:00"/>
    <s v="Sales"/>
    <s v="Female"/>
    <n v="22"/>
    <s v="Contract"/>
    <s v="Junior"/>
    <s v="Hyderabad"/>
    <n v="0"/>
    <n v="35500"/>
    <n v="3300"/>
    <n v="4.2"/>
    <n v="26"/>
    <n v="7"/>
    <n v="30"/>
    <n v="3.4"/>
    <s v="No"/>
    <s v="No"/>
    <s v="Campus"/>
    <d v="2025-07-03T00:00:00"/>
    <n v="3.4"/>
    <n v="3.8"/>
    <x v="2"/>
    <n v="1049"/>
  </r>
  <r>
    <x v="49"/>
    <d v="2025-11-12T00:00:00"/>
    <s v="IT"/>
    <s v="Female"/>
    <n v="38"/>
    <s v="Contract"/>
    <s v="Junior"/>
    <s v="Mumbai"/>
    <n v="12.4"/>
    <n v="69300"/>
    <n v="5000"/>
    <n v="2.4"/>
    <n v="8"/>
    <n v="10"/>
    <n v="24"/>
    <n v="3.9"/>
    <s v="No"/>
    <s v="No"/>
    <s v="Job Portal"/>
    <d v="2026-06-30T00:00:00"/>
    <n v="4.8"/>
    <n v="4.7"/>
    <x v="10"/>
    <n v="1050"/>
  </r>
  <r>
    <x v="50"/>
    <d v="2023-02-17T00:00:00"/>
    <s v="Finance"/>
    <s v="Male"/>
    <n v="49"/>
    <s v="Contract"/>
    <s v="Junior"/>
    <s v="Chennai"/>
    <n v="29.7"/>
    <n v="129100"/>
    <n v="15300"/>
    <n v="2.8"/>
    <n v="12"/>
    <n v="9"/>
    <n v="8"/>
    <n v="5"/>
    <s v="No"/>
    <s v="No"/>
    <s v="Job Portal"/>
    <d v="2026-01-22T00:00:00"/>
    <n v="3.9"/>
    <n v="4.5"/>
    <x v="3"/>
    <n v="1051"/>
  </r>
  <r>
    <x v="51"/>
    <d v="2024-11-17T00:00:00"/>
    <s v="Sales"/>
    <s v="Female"/>
    <n v="23"/>
    <s v="Full-Time"/>
    <s v="Senior"/>
    <s v="Bengaluru"/>
    <n v="0"/>
    <n v="45800"/>
    <n v="1100"/>
    <n v="4"/>
    <n v="10"/>
    <n v="11"/>
    <n v="8"/>
    <n v="3.8"/>
    <s v="No"/>
    <s v="No"/>
    <s v="Company Website"/>
    <d v="2026-06-30T00:00:00"/>
    <n v="3.2"/>
    <n v="3.5"/>
    <x v="10"/>
    <n v="1052"/>
  </r>
  <r>
    <x v="52"/>
    <d v="2025-11-20T00:00:00"/>
    <s v="Operations"/>
    <s v="Female"/>
    <n v="22"/>
    <s v="Part-Time"/>
    <s v="Junior"/>
    <s v="Bengaluru"/>
    <n v="0"/>
    <n v="40800"/>
    <n v="1400"/>
    <n v="3.9"/>
    <n v="8"/>
    <n v="17"/>
    <n v="24"/>
    <n v="3.2"/>
    <s v="No"/>
    <s v="No"/>
    <s v="Company Website"/>
    <d v="2026-06-30T00:00:00"/>
    <n v="3"/>
    <n v="3.4"/>
    <x v="10"/>
    <n v="1053"/>
  </r>
  <r>
    <x v="53"/>
    <d v="2025-09-22T00:00:00"/>
    <s v="Operations"/>
    <s v="Male"/>
    <n v="58"/>
    <s v="Contract"/>
    <s v="Manager"/>
    <s v="Bengaluru"/>
    <n v="35"/>
    <n v="196000"/>
    <n v="8900"/>
    <n v="3.8"/>
    <n v="34"/>
    <n v="12"/>
    <n v="20"/>
    <n v="3.6"/>
    <s v="No"/>
    <s v="No"/>
    <s v="Campus"/>
    <d v="2026-05-24T00:00:00"/>
    <n v="3.8"/>
    <n v="3.9"/>
    <x v="1"/>
    <n v="1054"/>
  </r>
  <r>
    <x v="54"/>
    <d v="2022-12-30T00:00:00"/>
    <s v="HR"/>
    <s v="Male"/>
    <n v="25"/>
    <s v="Full-Time"/>
    <s v="Mid-Level"/>
    <s v="Bengaluru"/>
    <n v="0"/>
    <n v="37500"/>
    <n v="1200"/>
    <n v="2.5"/>
    <n v="23"/>
    <n v="12"/>
    <n v="27"/>
    <n v="3.9"/>
    <s v="No"/>
    <s v="No"/>
    <s v="Campus"/>
    <d v="2025-06-06T00:00:00"/>
    <n v="3.1"/>
    <n v="3.1"/>
    <x v="7"/>
    <n v="1055"/>
  </r>
  <r>
    <x v="55"/>
    <d v="2023-09-12T00:00:00"/>
    <s v="Sales"/>
    <s v="Female"/>
    <n v="29"/>
    <s v="Full-Time"/>
    <s v="Mid-Level"/>
    <s v="Mumbai"/>
    <n v="5.3"/>
    <n v="51800"/>
    <n v="1400"/>
    <n v="5"/>
    <n v="32"/>
    <n v="10"/>
    <n v="4"/>
    <n v="3.2"/>
    <s v="No"/>
    <s v="Yes"/>
    <s v="Employee Referral"/>
    <d v="2026-06-30T00:00:00"/>
    <n v="3.3"/>
    <n v="3.5"/>
    <x v="1"/>
    <n v="1056"/>
  </r>
  <r>
    <x v="56"/>
    <d v="2021-09-28T00:00:00"/>
    <s v="IT"/>
    <s v="Female"/>
    <n v="43"/>
    <s v="Full-Time"/>
    <s v="Senior"/>
    <s v="Bengaluru"/>
    <n v="20"/>
    <n v="121200"/>
    <n v="3700"/>
    <n v="5"/>
    <n v="36"/>
    <n v="8"/>
    <n v="24"/>
    <n v="4.8"/>
    <s v="No"/>
    <s v="Yes"/>
    <s v="LinkedIn"/>
    <d v="2022-06-07T00:00:00"/>
    <n v="3.3"/>
    <n v="3.4"/>
    <x v="1"/>
    <n v="1057"/>
  </r>
  <r>
    <x v="57"/>
    <d v="2021-01-24T00:00:00"/>
    <s v="IT"/>
    <s v="Male"/>
    <n v="42"/>
    <s v="Full-Time"/>
    <s v="Mid-Level"/>
    <s v="Hyderabad"/>
    <n v="20.2"/>
    <n v="106100"/>
    <n v="9100"/>
    <n v="3.4"/>
    <n v="30"/>
    <n v="12"/>
    <n v="3"/>
    <n v="3.4"/>
    <s v="No"/>
    <s v="No"/>
    <s v="Campus"/>
    <d v="2022-01-11T00:00:00"/>
    <n v="4.2"/>
    <n v="4.5"/>
    <x v="5"/>
    <n v="1058"/>
  </r>
  <r>
    <x v="58"/>
    <d v="2022-10-11T00:00:00"/>
    <s v="Operations"/>
    <s v="Male"/>
    <n v="52"/>
    <s v="Full-Time"/>
    <s v="Mid-Level"/>
    <s v="Pune"/>
    <n v="29"/>
    <n v="139000"/>
    <n v="14300"/>
    <n v="2.4"/>
    <n v="32"/>
    <n v="13"/>
    <n v="24"/>
    <n v="3.4"/>
    <s v="No"/>
    <s v="No"/>
    <s v="Job Portal"/>
    <d v="2025-07-08T00:00:00"/>
    <n v="3.5"/>
    <n v="3.8"/>
    <x v="9"/>
    <n v="1059"/>
  </r>
  <r>
    <x v="59"/>
    <d v="2025-12-06T00:00:00"/>
    <s v="Marketing"/>
    <s v="Male"/>
    <n v="30"/>
    <s v="Part-Time"/>
    <s v="Mid-Level"/>
    <s v="Pune"/>
    <n v="4"/>
    <n v="63300"/>
    <n v="4800"/>
    <n v="4.9000000000000004"/>
    <n v="10"/>
    <n v="20"/>
    <n v="24"/>
    <n v="4.5999999999999996"/>
    <s v="Yes"/>
    <s v="Yes"/>
    <s v="Company Website"/>
    <d v="2026-06-30T00:00:00"/>
    <n v="2.5"/>
    <n v="3.5"/>
    <x v="7"/>
    <n v="1060"/>
  </r>
  <r>
    <x v="60"/>
    <d v="2023-10-16T00:00:00"/>
    <s v="IT"/>
    <s v="Female"/>
    <n v="56"/>
    <s v="Contract"/>
    <s v="Senior"/>
    <s v="Chennai"/>
    <n v="32.799999999999997"/>
    <n v="164100"/>
    <n v="15300"/>
    <n v="4.0999999999999996"/>
    <n v="34"/>
    <n v="12"/>
    <n v="12"/>
    <n v="3.8"/>
    <s v="No"/>
    <s v="Yes"/>
    <s v="Job Portal"/>
    <d v="2025-10-07T00:00:00"/>
    <n v="4.4000000000000004"/>
    <n v="3.9"/>
    <x v="9"/>
    <n v="1061"/>
  </r>
  <r>
    <x v="61"/>
    <d v="2024-03-19T00:00:00"/>
    <s v="Sales"/>
    <s v="Male"/>
    <n v="54"/>
    <s v="Full-Time"/>
    <s v="Junior"/>
    <s v="Hyderabad"/>
    <n v="27.2"/>
    <n v="131800"/>
    <n v="9600"/>
    <n v="4.4000000000000004"/>
    <n v="25"/>
    <n v="17"/>
    <n v="1"/>
    <n v="2.2999999999999998"/>
    <s v="No"/>
    <s v="Yes"/>
    <s v="Employee Referral"/>
    <d v="2025-12-29T00:00:00"/>
    <n v="2.8"/>
    <n v="3.5"/>
    <x v="6"/>
    <n v="1062"/>
  </r>
  <r>
    <x v="62"/>
    <d v="2021-07-20T00:00:00"/>
    <s v="HR"/>
    <s v="Female"/>
    <n v="45"/>
    <s v="Full-Time"/>
    <s v="Senior"/>
    <s v="Chennai"/>
    <n v="21.6"/>
    <n v="127000"/>
    <n v="11400"/>
    <n v="3.8"/>
    <n v="22"/>
    <n v="8"/>
    <n v="13"/>
    <n v="3.8"/>
    <s v="No"/>
    <s v="No"/>
    <s v="Company Website"/>
    <d v="2024-09-05T00:00:00"/>
    <n v="3.6"/>
    <n v="3.6"/>
    <x v="11"/>
    <n v="1063"/>
  </r>
  <r>
    <x v="63"/>
    <d v="2023-10-21T00:00:00"/>
    <s v="Marketing"/>
    <s v="Male"/>
    <n v="50"/>
    <s v="Part-Time"/>
    <s v="Junior"/>
    <s v="Chennai"/>
    <n v="31.1"/>
    <n v="135500"/>
    <n v="15000"/>
    <n v="3.5"/>
    <n v="27"/>
    <n v="13"/>
    <n v="10"/>
    <n v="4.0999999999999996"/>
    <s v="No"/>
    <s v="No"/>
    <s v="Company Website"/>
    <d v="2024-09-03T00:00:00"/>
    <n v="4.0999999999999996"/>
    <n v="4.9000000000000004"/>
    <x v="9"/>
    <n v="1064"/>
  </r>
  <r>
    <x v="64"/>
    <d v="2021-01-18T00:00:00"/>
    <s v="Operations"/>
    <s v="Female"/>
    <n v="29"/>
    <s v="Full-Time"/>
    <s v="Mid-Level"/>
    <s v="Pune"/>
    <n v="5.5"/>
    <n v="44000"/>
    <n v="5300"/>
    <n v="3"/>
    <n v="16"/>
    <n v="9"/>
    <n v="8"/>
    <n v="3.7"/>
    <s v="No"/>
    <s v="No"/>
    <s v="Company Website"/>
    <d v="2023-10-27T00:00:00"/>
    <n v="3.3"/>
    <n v="3.8"/>
    <x v="5"/>
    <n v="1065"/>
  </r>
  <r>
    <x v="65"/>
    <d v="2022-12-23T00:00:00"/>
    <s v="Marketing"/>
    <s v="Male"/>
    <n v="33"/>
    <s v="Full-Time"/>
    <s v="Mid-Level"/>
    <s v="Hyderabad"/>
    <n v="11"/>
    <n v="75700"/>
    <n v="3800"/>
    <n v="3.5"/>
    <n v="11"/>
    <n v="13"/>
    <n v="5"/>
    <n v="3"/>
    <s v="No"/>
    <s v="No"/>
    <s v="Employee Referral"/>
    <d v="2024-08-02T00:00:00"/>
    <n v="3.6"/>
    <n v="3.6"/>
    <x v="7"/>
    <n v="1066"/>
  </r>
  <r>
    <x v="66"/>
    <d v="2022-07-20T00:00:00"/>
    <s v="Sales"/>
    <s v="Male"/>
    <n v="59"/>
    <s v="Full-Time"/>
    <s v="Mid-Level"/>
    <s v="Bengaluru"/>
    <n v="35"/>
    <n v="162500"/>
    <n v="17600"/>
    <n v="3"/>
    <n v="29"/>
    <n v="15"/>
    <n v="23"/>
    <n v="3.7"/>
    <s v="No"/>
    <s v="No"/>
    <s v="LinkedIn"/>
    <d v="2023-07-05T00:00:00"/>
    <n v="4.5999999999999996"/>
    <n v="4.9000000000000004"/>
    <x v="11"/>
    <n v="1067"/>
  </r>
  <r>
    <x v="67"/>
    <d v="2023-08-04T00:00:00"/>
    <s v="Marketing"/>
    <s v="Female"/>
    <n v="21"/>
    <s v="Contract"/>
    <s v="Mid-Level"/>
    <s v="Bengaluru"/>
    <n v="0"/>
    <n v="35000"/>
    <n v="3300"/>
    <n v="4.4000000000000004"/>
    <n v="23"/>
    <n v="13"/>
    <n v="3"/>
    <n v="4.2"/>
    <s v="No"/>
    <s v="No"/>
    <s v="Company Website"/>
    <d v="2025-02-02T00:00:00"/>
    <n v="2.5"/>
    <n v="2.9"/>
    <x v="2"/>
    <n v="1068"/>
  </r>
  <r>
    <x v="68"/>
    <d v="2021-11-25T00:00:00"/>
    <s v="Finance"/>
    <s v="Male"/>
    <n v="37"/>
    <s v="Contract"/>
    <s v="Junior"/>
    <s v="Mumbai"/>
    <n v="16.600000000000001"/>
    <n v="82800"/>
    <n v="4100"/>
    <n v="4.0999999999999996"/>
    <n v="26"/>
    <n v="15"/>
    <n v="26"/>
    <n v="3.8"/>
    <s v="No"/>
    <s v="Yes"/>
    <s v="Campus"/>
    <d v="2024-06-26T00:00:00"/>
    <n v="3.5"/>
    <n v="3.5"/>
    <x v="10"/>
    <n v="1069"/>
  </r>
  <r>
    <x v="69"/>
    <d v="2023-02-03T00:00:00"/>
    <s v="HR"/>
    <s v="Male"/>
    <n v="22"/>
    <s v="Full-Time"/>
    <s v="Mid-Level"/>
    <s v="Chennai"/>
    <n v="0"/>
    <n v="45700"/>
    <n v="1300"/>
    <n v="4"/>
    <n v="15"/>
    <n v="9"/>
    <n v="30"/>
    <n v="4.5"/>
    <s v="Yes"/>
    <s v="No"/>
    <s v="Employee Referral"/>
    <d v="2026-06-12T00:00:00"/>
    <n v="4.5"/>
    <n v="5"/>
    <x v="3"/>
    <n v="1070"/>
  </r>
  <r>
    <x v="70"/>
    <d v="2021-03-10T00:00:00"/>
    <s v="Sales"/>
    <s v="Male"/>
    <n v="54"/>
    <s v="Full-Time"/>
    <s v="Mid-Level"/>
    <s v="Hyderabad"/>
    <n v="34.1"/>
    <n v="158400"/>
    <n v="13200"/>
    <n v="3"/>
    <n v="33"/>
    <n v="6"/>
    <n v="15"/>
    <n v="3.3"/>
    <s v="No"/>
    <s v="No"/>
    <s v="Company Website"/>
    <d v="2024-02-04T00:00:00"/>
    <n v="3.7"/>
    <n v="4.2"/>
    <x v="6"/>
    <n v="1071"/>
  </r>
  <r>
    <x v="71"/>
    <d v="2023-06-28T00:00:00"/>
    <s v="IT"/>
    <s v="Female"/>
    <n v="58"/>
    <s v="Full-Time"/>
    <s v="Senior"/>
    <s v="Bengaluru"/>
    <n v="35"/>
    <n v="167400"/>
    <n v="6400"/>
    <n v="4.5999999999999996"/>
    <n v="14"/>
    <n v="17"/>
    <n v="18"/>
    <n v="4"/>
    <s v="No"/>
    <s v="Yes"/>
    <s v="Job Portal"/>
    <d v="2024-02-11T00:00:00"/>
    <n v="3.5"/>
    <n v="4.0999999999999996"/>
    <x v="8"/>
    <n v="1072"/>
  </r>
  <r>
    <x v="72"/>
    <d v="2023-07-18T00:00:00"/>
    <s v="Finance"/>
    <s v="Male"/>
    <n v="21"/>
    <s v="Part-Time"/>
    <s v="Mid-Level"/>
    <s v="Mumbai"/>
    <n v="0"/>
    <n v="36900"/>
    <n v="3000"/>
    <n v="3.1"/>
    <n v="38"/>
    <n v="11"/>
    <n v="13"/>
    <n v="2.2999999999999998"/>
    <s v="Yes"/>
    <s v="No"/>
    <s v="LinkedIn"/>
    <d v="2026-03-20T00:00:00"/>
    <n v="3"/>
    <n v="3.2"/>
    <x v="11"/>
    <n v="1073"/>
  </r>
  <r>
    <x v="73"/>
    <d v="2024-06-06T00:00:00"/>
    <s v="Marketing"/>
    <s v="Female"/>
    <n v="43"/>
    <s v="Contract"/>
    <s v="Senior"/>
    <s v="Pune"/>
    <n v="15.2"/>
    <n v="87800"/>
    <n v="9400"/>
    <n v="3.8"/>
    <n v="26"/>
    <n v="14"/>
    <n v="21"/>
    <n v="3.8"/>
    <s v="No"/>
    <s v="No"/>
    <s v="Company Website"/>
    <d v="2025-02-05T00:00:00"/>
    <n v="2.9"/>
    <n v="2.8"/>
    <x v="8"/>
    <n v="1074"/>
  </r>
  <r>
    <x v="74"/>
    <d v="2025-01-16T00:00:00"/>
    <s v="Sales"/>
    <s v="Male"/>
    <n v="38"/>
    <s v="Full-Time"/>
    <s v="Mid-Level"/>
    <s v="Delhi"/>
    <n v="13.6"/>
    <n v="85900"/>
    <n v="2700"/>
    <n v="4.5"/>
    <n v="24"/>
    <n v="13"/>
    <n v="16"/>
    <n v="2.8"/>
    <s v="No"/>
    <s v="Yes"/>
    <s v="Campus"/>
    <d v="2026-06-30T00:00:00"/>
    <n v="3.2"/>
    <n v="3.2"/>
    <x v="5"/>
    <n v="1075"/>
  </r>
  <r>
    <x v="75"/>
    <d v="2023-04-29T00:00:00"/>
    <s v="IT"/>
    <s v="Female"/>
    <n v="32"/>
    <s v="Full-Time"/>
    <s v="Mid-Level"/>
    <s v="Mumbai"/>
    <n v="2"/>
    <n v="45500"/>
    <n v="1700"/>
    <n v="3.5"/>
    <n v="26"/>
    <n v="13"/>
    <n v="30"/>
    <n v="4.5"/>
    <s v="No"/>
    <s v="No"/>
    <s v="Employee Referral"/>
    <d v="2023-12-19T00:00:00"/>
    <n v="3.8"/>
    <n v="4.0999999999999996"/>
    <x v="4"/>
    <n v="1076"/>
  </r>
  <r>
    <x v="76"/>
    <d v="2024-01-08T00:00:00"/>
    <s v="IT"/>
    <s v="Male"/>
    <n v="29"/>
    <s v="Full-Time"/>
    <s v="Mid-Level"/>
    <s v="Pune"/>
    <n v="3"/>
    <n v="53400"/>
    <n v="3000"/>
    <n v="4.7"/>
    <n v="18"/>
    <n v="19"/>
    <n v="20"/>
    <n v="3.8"/>
    <s v="No"/>
    <s v="Yes"/>
    <s v="Employee Referral"/>
    <d v="2025-12-27T00:00:00"/>
    <n v="3.6"/>
    <n v="3.8"/>
    <x v="5"/>
    <n v="1077"/>
  </r>
  <r>
    <x v="77"/>
    <d v="2024-06-22T00:00:00"/>
    <s v="Sales"/>
    <s v="Male"/>
    <n v="31"/>
    <s v="Full-Time"/>
    <s v="Senior"/>
    <s v="Hyderabad"/>
    <n v="13.6"/>
    <n v="98300"/>
    <n v="8000"/>
    <n v="4.2"/>
    <n v="18"/>
    <n v="17"/>
    <n v="5"/>
    <n v="2.4"/>
    <s v="No"/>
    <s v="Yes"/>
    <s v="LinkedIn"/>
    <d v="2026-01-09T00:00:00"/>
    <n v="3.4"/>
    <n v="3.6"/>
    <x v="8"/>
    <n v="1078"/>
  </r>
  <r>
    <x v="78"/>
    <d v="2022-01-09T00:00:00"/>
    <s v="Marketing"/>
    <s v="Female"/>
    <n v="24"/>
    <s v="Full-Time"/>
    <s v="Senior"/>
    <s v="Hyderabad"/>
    <n v="0"/>
    <n v="27700"/>
    <n v="1600"/>
    <n v="3.1"/>
    <n v="35"/>
    <n v="11"/>
    <n v="23"/>
    <n v="3.1"/>
    <s v="Yes"/>
    <s v="No"/>
    <s v="LinkedIn"/>
    <d v="2024-10-14T00:00:00"/>
    <n v="3.5"/>
    <n v="4.3"/>
    <x v="5"/>
    <n v="1079"/>
  </r>
  <r>
    <x v="79"/>
    <d v="2025-12-17T00:00:00"/>
    <s v="Marketing"/>
    <s v="Male"/>
    <n v="52"/>
    <s v="Full-Time"/>
    <s v="Senior"/>
    <s v="Chennai"/>
    <n v="32.299999999999997"/>
    <n v="166800"/>
    <n v="19400"/>
    <n v="4.5"/>
    <n v="30"/>
    <n v="13"/>
    <n v="12"/>
    <n v="3.7"/>
    <s v="No"/>
    <s v="Yes"/>
    <s v="Campus"/>
    <d v="2026-06-30T00:00:00"/>
    <n v="3.6"/>
    <n v="4.0999999999999996"/>
    <x v="7"/>
    <n v="1080"/>
  </r>
  <r>
    <x v="80"/>
    <d v="2025-07-24T00:00:00"/>
    <s v="IT"/>
    <s v="Male"/>
    <n v="43"/>
    <s v="Full-Time"/>
    <s v="Junior"/>
    <s v="Hyderabad"/>
    <n v="22.7"/>
    <n v="110900"/>
    <n v="3300"/>
    <n v="4.3"/>
    <n v="20"/>
    <n v="6"/>
    <n v="12"/>
    <n v="3"/>
    <s v="No"/>
    <s v="Yes"/>
    <s v="Campus"/>
    <d v="2026-02-19T00:00:00"/>
    <n v="3.2"/>
    <n v="3.9"/>
    <x v="11"/>
    <n v="1081"/>
  </r>
  <r>
    <x v="81"/>
    <d v="2023-02-25T00:00:00"/>
    <s v="IT"/>
    <s v="Male"/>
    <n v="35"/>
    <s v="Full-Time"/>
    <s v="Mid-Level"/>
    <s v="Mumbai"/>
    <n v="9.9"/>
    <n v="60300"/>
    <n v="4700"/>
    <n v="2.2000000000000002"/>
    <n v="17"/>
    <n v="11"/>
    <n v="26"/>
    <n v="3.8"/>
    <s v="No"/>
    <s v="No"/>
    <s v="Job Portal"/>
    <d v="2026-04-05T00:00:00"/>
    <n v="4"/>
    <n v="3.9"/>
    <x v="3"/>
    <n v="1082"/>
  </r>
  <r>
    <x v="82"/>
    <d v="2022-02-26T00:00:00"/>
    <s v="HR"/>
    <s v="Male"/>
    <n v="24"/>
    <s v="Full-Time"/>
    <s v="Mid-Level"/>
    <s v="Mumbai"/>
    <n v="4"/>
    <n v="50900"/>
    <n v="3300"/>
    <n v="3.2"/>
    <n v="39"/>
    <n v="5"/>
    <n v="23"/>
    <n v="3.1"/>
    <s v="No"/>
    <s v="No"/>
    <s v="LinkedIn"/>
    <d v="2025-11-08T00:00:00"/>
    <n v="3.8"/>
    <n v="4"/>
    <x v="3"/>
    <n v="1083"/>
  </r>
  <r>
    <x v="83"/>
    <d v="2022-11-24T00:00:00"/>
    <s v="Finance"/>
    <s v="Male"/>
    <n v="49"/>
    <s v="Full-Time"/>
    <s v="Senior"/>
    <s v="Mumbai"/>
    <n v="26"/>
    <n v="139200"/>
    <n v="16000"/>
    <n v="3.1"/>
    <n v="14"/>
    <n v="6"/>
    <n v="14"/>
    <n v="2.4"/>
    <s v="No"/>
    <s v="No"/>
    <s v="Employee Referral"/>
    <d v="2024-10-06T00:00:00"/>
    <n v="3"/>
    <n v="3.3"/>
    <x v="10"/>
    <n v="1084"/>
  </r>
  <r>
    <x v="84"/>
    <d v="2025-07-10T00:00:00"/>
    <s v="Operations"/>
    <s v="Female"/>
    <n v="23"/>
    <s v="Full-Time"/>
    <s v="Mid-Level"/>
    <s v="Mumbai"/>
    <n v="0"/>
    <n v="41600"/>
    <n v="1400"/>
    <n v="4.4000000000000004"/>
    <n v="33"/>
    <n v="17"/>
    <n v="14"/>
    <n v="3"/>
    <s v="No"/>
    <s v="No"/>
    <s v="LinkedIn"/>
    <d v="2026-06-30T00:00:00"/>
    <n v="3.4"/>
    <n v="4"/>
    <x v="11"/>
    <n v="1085"/>
  </r>
  <r>
    <x v="85"/>
    <d v="2021-02-15T00:00:00"/>
    <s v="Operations"/>
    <s v="Female"/>
    <n v="54"/>
    <s v="Full-Time"/>
    <s v="Mid-Level"/>
    <s v="Delhi"/>
    <n v="32.299999999999997"/>
    <n v="156500"/>
    <n v="17900"/>
    <n v="2.8"/>
    <n v="22"/>
    <n v="9"/>
    <n v="23"/>
    <n v="3.9"/>
    <s v="No"/>
    <s v="No"/>
    <s v="Employee Referral"/>
    <d v="2022-03-01T00:00:00"/>
    <n v="3"/>
    <n v="3.3"/>
    <x v="3"/>
    <n v="1086"/>
  </r>
  <r>
    <x v="86"/>
    <d v="2025-01-13T00:00:00"/>
    <s v="Marketing"/>
    <s v="Male"/>
    <n v="57"/>
    <s v="Full-Time"/>
    <s v="Mid-Level"/>
    <s v="Pune"/>
    <n v="33.700000000000003"/>
    <n v="150500"/>
    <n v="3100"/>
    <n v="3.6"/>
    <n v="28"/>
    <n v="11"/>
    <n v="16"/>
    <n v="4.0999999999999996"/>
    <s v="No"/>
    <s v="No"/>
    <s v="Campus"/>
    <d v="2026-06-30T00:00:00"/>
    <n v="3.4"/>
    <n v="3.7"/>
    <x v="5"/>
    <n v="1087"/>
  </r>
  <r>
    <x v="87"/>
    <d v="2024-01-24T00:00:00"/>
    <s v="Finance"/>
    <s v="Male"/>
    <n v="56"/>
    <s v="Part-Time"/>
    <s v="Mid-Level"/>
    <s v="Hyderabad"/>
    <n v="35"/>
    <n v="155400"/>
    <n v="6700"/>
    <n v="2.8"/>
    <n v="15"/>
    <n v="14"/>
    <n v="13"/>
    <n v="3"/>
    <s v="No"/>
    <s v="No"/>
    <s v="Employee Referral"/>
    <d v="2026-06-30T00:00:00"/>
    <n v="4.4000000000000004"/>
    <n v="4.5"/>
    <x v="5"/>
    <n v="1088"/>
  </r>
  <r>
    <x v="88"/>
    <d v="2023-06-20T00:00:00"/>
    <s v="Sales"/>
    <s v="Female"/>
    <n v="58"/>
    <s v="Full-Time"/>
    <s v="Mid-Level"/>
    <s v="Pune"/>
    <n v="30.7"/>
    <n v="151800"/>
    <n v="14600"/>
    <n v="3.9"/>
    <n v="21"/>
    <n v="11"/>
    <n v="10"/>
    <n v="4"/>
    <s v="No"/>
    <s v="No"/>
    <s v="Employee Referral"/>
    <d v="2026-06-30T00:00:00"/>
    <n v="2.8"/>
    <n v="2.8"/>
    <x v="8"/>
    <n v="1089"/>
  </r>
  <r>
    <x v="89"/>
    <d v="2022-10-28T00:00:00"/>
    <s v="IT"/>
    <s v="Female"/>
    <n v="40"/>
    <s v="Full-Time"/>
    <s v="Junior"/>
    <s v="Delhi"/>
    <n v="10.5"/>
    <n v="74800"/>
    <n v="6500"/>
    <n v="3.9"/>
    <n v="31"/>
    <n v="15"/>
    <n v="27"/>
    <n v="2.9"/>
    <s v="Yes"/>
    <s v="No"/>
    <s v="Job Portal"/>
    <d v="2025-12-16T00:00:00"/>
    <n v="3.3"/>
    <n v="3.6"/>
    <x v="9"/>
    <n v="1090"/>
  </r>
  <r>
    <x v="90"/>
    <d v="2023-11-27T00:00:00"/>
    <s v="Operations"/>
    <s v="Male"/>
    <n v="55"/>
    <s v="Part-Time"/>
    <s v="Mid-Level"/>
    <s v="Chennai"/>
    <n v="26.8"/>
    <n v="139800"/>
    <n v="13000"/>
    <n v="3.8"/>
    <n v="36"/>
    <n v="12"/>
    <n v="21"/>
    <n v="3.6"/>
    <s v="No"/>
    <s v="No"/>
    <s v="Job Portal"/>
    <d v="2026-04-17T00:00:00"/>
    <n v="2.6"/>
    <n v="3.5"/>
    <x v="10"/>
    <n v="1091"/>
  </r>
  <r>
    <x v="91"/>
    <d v="2023-08-09T00:00:00"/>
    <s v="Finance"/>
    <s v="Female"/>
    <n v="47"/>
    <s v="Full-Time"/>
    <s v="Senior"/>
    <s v="Pune"/>
    <n v="18.7"/>
    <n v="108400"/>
    <n v="4800"/>
    <n v="3.3"/>
    <n v="29"/>
    <n v="19"/>
    <n v="24"/>
    <n v="3.2"/>
    <s v="Yes"/>
    <s v="No"/>
    <s v="Campus"/>
    <d v="2024-06-08T00:00:00"/>
    <n v="3"/>
    <n v="2.8"/>
    <x v="2"/>
    <n v="1092"/>
  </r>
  <r>
    <x v="92"/>
    <d v="2025-05-01T00:00:00"/>
    <s v="Operations"/>
    <s v="Female"/>
    <n v="52"/>
    <s v="Contract"/>
    <s v="Senior"/>
    <s v="Pune"/>
    <n v="25"/>
    <n v="138300"/>
    <n v="5100"/>
    <n v="4"/>
    <n v="7"/>
    <n v="11"/>
    <n v="15"/>
    <n v="4.5999999999999996"/>
    <s v="No"/>
    <s v="Yes"/>
    <s v="LinkedIn"/>
    <d v="2026-01-17T00:00:00"/>
    <n v="3.9"/>
    <n v="4.5999999999999996"/>
    <x v="0"/>
    <n v="1093"/>
  </r>
  <r>
    <x v="93"/>
    <d v="2022-07-16T00:00:00"/>
    <s v="IT"/>
    <s v="Female"/>
    <n v="50"/>
    <s v="Full-Time"/>
    <s v="Manager"/>
    <s v="Hyderabad"/>
    <n v="25.1"/>
    <n v="156400"/>
    <n v="5800"/>
    <n v="2.9"/>
    <n v="39"/>
    <n v="8"/>
    <n v="23"/>
    <n v="3.5"/>
    <s v="No"/>
    <s v="No"/>
    <s v="Campus"/>
    <d v="2026-02-09T00:00:00"/>
    <n v="3.3"/>
    <n v="4.0999999999999996"/>
    <x v="11"/>
    <n v="1094"/>
  </r>
  <r>
    <x v="94"/>
    <d v="2023-12-16T00:00:00"/>
    <s v="Operations"/>
    <s v="Female"/>
    <n v="27"/>
    <s v="Full-Time"/>
    <s v="Mid-Level"/>
    <s v="Chennai"/>
    <n v="0.3"/>
    <n v="27700"/>
    <n v="2900"/>
    <n v="3.8"/>
    <n v="33"/>
    <n v="10"/>
    <n v="22"/>
    <n v="3.5"/>
    <s v="No"/>
    <s v="No"/>
    <s v="Company Website"/>
    <d v="2025-12-29T00:00:00"/>
    <n v="4"/>
    <n v="4.5999999999999996"/>
    <x v="7"/>
    <n v="1095"/>
  </r>
  <r>
    <x v="95"/>
    <d v="2023-11-16T00:00:00"/>
    <s v="Finance"/>
    <s v="Female"/>
    <n v="31"/>
    <s v="Full-Time"/>
    <s v="Mid-Level"/>
    <s v="Mumbai"/>
    <n v="5.7"/>
    <n v="46400"/>
    <n v="1000"/>
    <n v="3.2"/>
    <n v="38"/>
    <n v="6"/>
    <n v="18"/>
    <n v="4.0999999999999996"/>
    <s v="No"/>
    <s v="No"/>
    <s v="Campus"/>
    <d v="2024-06-25T00:00:00"/>
    <n v="3.1"/>
    <n v="3.1"/>
    <x v="10"/>
    <n v="1096"/>
  </r>
  <r>
    <x v="96"/>
    <d v="2025-07-02T00:00:00"/>
    <s v="HR"/>
    <s v="Female"/>
    <n v="41"/>
    <s v="Full-Time"/>
    <s v="Junior"/>
    <s v="Chennai"/>
    <n v="23.5"/>
    <n v="112500"/>
    <n v="5500"/>
    <n v="3.2"/>
    <n v="32"/>
    <n v="12"/>
    <n v="9"/>
    <n v="3.8"/>
    <s v="No"/>
    <s v="No"/>
    <s v="LinkedIn"/>
    <d v="2026-06-30T00:00:00"/>
    <n v="3"/>
    <n v="3.6"/>
    <x v="11"/>
    <n v="1097"/>
  </r>
  <r>
    <x v="97"/>
    <d v="2022-02-04T00:00:00"/>
    <s v="Operations"/>
    <s v="Male"/>
    <n v="58"/>
    <s v="Contract"/>
    <s v="Senior"/>
    <s v="Bengaluru"/>
    <n v="32.200000000000003"/>
    <n v="161500"/>
    <n v="4500"/>
    <n v="3.9"/>
    <n v="30"/>
    <n v="13"/>
    <n v="9"/>
    <n v="3.7"/>
    <s v="No"/>
    <s v="No"/>
    <s v="LinkedIn"/>
    <d v="2025-03-21T00:00:00"/>
    <n v="3.9"/>
    <n v="4.3"/>
    <x v="3"/>
    <n v="1098"/>
  </r>
  <r>
    <x v="98"/>
    <d v="2021-06-24T00:00:00"/>
    <s v="Finance"/>
    <s v="Female"/>
    <n v="39"/>
    <s v="Contract"/>
    <s v="Senior"/>
    <s v="Pune"/>
    <n v="13.1"/>
    <n v="96100"/>
    <n v="9400"/>
    <n v="3.3"/>
    <n v="27"/>
    <n v="9"/>
    <n v="30"/>
    <n v="4.4000000000000004"/>
    <s v="No"/>
    <s v="No"/>
    <s v="Company Website"/>
    <d v="2024-04-10T00:00:00"/>
    <n v="3.4"/>
    <n v="3.4"/>
    <x v="8"/>
    <n v="1099"/>
  </r>
  <r>
    <x v="99"/>
    <d v="2021-07-30T00:00:00"/>
    <s v="Operations"/>
    <s v="Male"/>
    <n v="38"/>
    <s v="Contract"/>
    <s v="Junior"/>
    <s v="Pune"/>
    <n v="18.8"/>
    <n v="94100"/>
    <n v="4500"/>
    <n v="3.9"/>
    <n v="10"/>
    <n v="15"/>
    <n v="1"/>
    <n v="4.0999999999999996"/>
    <s v="No"/>
    <s v="No"/>
    <s v="Employee Referral"/>
    <d v="2022-01-31T00:00:00"/>
    <n v="3.2"/>
    <n v="3.3"/>
    <x v="11"/>
    <n v="1100"/>
  </r>
  <r>
    <x v="100"/>
    <d v="2025-12-21T00:00:00"/>
    <s v="IT"/>
    <s v="Female"/>
    <n v="59"/>
    <s v="Full-Time"/>
    <s v="Junior"/>
    <s v="Mumbai"/>
    <n v="35"/>
    <n v="149700"/>
    <n v="11200"/>
    <n v="1.7"/>
    <n v="26"/>
    <n v="15"/>
    <n v="22"/>
    <n v="2"/>
    <s v="Yes"/>
    <s v="No"/>
    <s v="Company Website"/>
    <d v="2026-06-30T00:00:00"/>
    <n v="2.9"/>
    <n v="2.7"/>
    <x v="7"/>
    <n v="1101"/>
  </r>
  <r>
    <x v="101"/>
    <d v="2021-08-15T00:00:00"/>
    <s v="IT"/>
    <s v="Female"/>
    <n v="47"/>
    <s v="Full-Time"/>
    <s v="Junior"/>
    <s v="Chennai"/>
    <n v="26.4"/>
    <n v="118500"/>
    <n v="12100"/>
    <n v="3.4"/>
    <n v="26"/>
    <n v="13"/>
    <n v="12"/>
    <n v="3.2"/>
    <s v="Yes"/>
    <s v="No"/>
    <s v="Employee Referral"/>
    <d v="2025-07-02T00:00:00"/>
    <n v="3.1"/>
    <n v="3"/>
    <x v="2"/>
    <n v="1102"/>
  </r>
  <r>
    <x v="102"/>
    <d v="2022-08-31T00:00:00"/>
    <s v="Sales"/>
    <s v="Male"/>
    <n v="55"/>
    <s v="Part-Time"/>
    <s v="Mid-Level"/>
    <s v="Delhi"/>
    <n v="31"/>
    <n v="146200"/>
    <n v="15500"/>
    <n v="3.2"/>
    <n v="16"/>
    <n v="18"/>
    <n v="29"/>
    <n v="4.9000000000000004"/>
    <s v="No"/>
    <s v="No"/>
    <s v="Company Website"/>
    <d v="2026-02-20T00:00:00"/>
    <n v="3.1"/>
    <n v="3.4"/>
    <x v="2"/>
    <n v="1103"/>
  </r>
  <r>
    <x v="103"/>
    <d v="2024-06-12T00:00:00"/>
    <s v="IT"/>
    <s v="Female"/>
    <n v="22"/>
    <s v="Part-Time"/>
    <s v="Manager"/>
    <s v="Chennai"/>
    <n v="0"/>
    <n v="69600"/>
    <n v="1600"/>
    <n v="4.4000000000000004"/>
    <n v="20"/>
    <n v="2"/>
    <n v="11"/>
    <n v="2.9"/>
    <s v="No"/>
    <s v="No"/>
    <s v="LinkedIn"/>
    <d v="2025-10-11T00:00:00"/>
    <n v="4.0999999999999996"/>
    <n v="4.5"/>
    <x v="8"/>
    <n v="1104"/>
  </r>
  <r>
    <x v="104"/>
    <d v="2025-11-28T00:00:00"/>
    <s v="Finance"/>
    <s v="Female"/>
    <n v="25"/>
    <s v="Full-Time"/>
    <s v="Junior"/>
    <s v="Pune"/>
    <n v="0"/>
    <n v="25000"/>
    <n v="700"/>
    <n v="2.7"/>
    <n v="29"/>
    <n v="10"/>
    <n v="12"/>
    <n v="4.8"/>
    <s v="No"/>
    <s v="No"/>
    <s v="LinkedIn"/>
    <d v="2026-06-30T00:00:00"/>
    <n v="4"/>
    <n v="4.2"/>
    <x v="10"/>
    <n v="1105"/>
  </r>
  <r>
    <x v="105"/>
    <d v="2022-11-30T00:00:00"/>
    <s v="Marketing"/>
    <s v="Male"/>
    <n v="37"/>
    <s v="Full-Time"/>
    <s v="Manager"/>
    <s v="Mumbai"/>
    <n v="10"/>
    <n v="94900"/>
    <n v="9400"/>
    <n v="3.5"/>
    <n v="35"/>
    <n v="14"/>
    <n v="13"/>
    <n v="3.7"/>
    <s v="Yes"/>
    <s v="No"/>
    <s v="Company Website"/>
    <d v="2024-08-31T00:00:00"/>
    <n v="3.2"/>
    <n v="3.3"/>
    <x v="10"/>
    <n v="1106"/>
  </r>
  <r>
    <x v="106"/>
    <d v="2022-02-13T00:00:00"/>
    <s v="Marketing"/>
    <s v="Male"/>
    <n v="24"/>
    <s v="Full-Time"/>
    <s v="Senior"/>
    <s v="Pune"/>
    <n v="4.9000000000000004"/>
    <n v="77000"/>
    <n v="7700"/>
    <n v="3.4"/>
    <n v="27"/>
    <n v="18"/>
    <n v="7"/>
    <n v="4.4000000000000004"/>
    <s v="No"/>
    <s v="No"/>
    <s v="LinkedIn"/>
    <d v="2024-08-27T00:00:00"/>
    <n v="4"/>
    <n v="4.3"/>
    <x v="3"/>
    <n v="1107"/>
  </r>
  <r>
    <x v="107"/>
    <d v="2024-03-12T00:00:00"/>
    <s v="Marketing"/>
    <s v="Male"/>
    <n v="36"/>
    <s v="Full-Time"/>
    <s v="Mid-Level"/>
    <s v="Chennai"/>
    <n v="8.8000000000000007"/>
    <n v="77700"/>
    <n v="9300"/>
    <n v="3.5"/>
    <n v="14"/>
    <n v="6"/>
    <n v="11"/>
    <n v="4"/>
    <s v="No"/>
    <s v="No"/>
    <s v="Job Portal"/>
    <d v="2026-06-30T00:00:00"/>
    <n v="1.6"/>
    <n v="1.8"/>
    <x v="6"/>
    <n v="1108"/>
  </r>
  <r>
    <x v="108"/>
    <d v="2023-12-26T00:00:00"/>
    <s v="HR"/>
    <s v="Female"/>
    <n v="54"/>
    <s v="Contract"/>
    <s v="Manager"/>
    <s v="Delhi"/>
    <n v="35"/>
    <n v="180800"/>
    <n v="17800"/>
    <n v="4.5999999999999996"/>
    <n v="13"/>
    <n v="15"/>
    <n v="18"/>
    <n v="3"/>
    <s v="No"/>
    <s v="Yes"/>
    <s v="Campus"/>
    <d v="2026-01-18T00:00:00"/>
    <n v="4.5999999999999996"/>
    <n v="5"/>
    <x v="7"/>
    <n v="1109"/>
  </r>
  <r>
    <x v="109"/>
    <d v="2024-12-06T00:00:00"/>
    <s v="Sales"/>
    <s v="Male"/>
    <n v="44"/>
    <s v="Part-Time"/>
    <s v="Mid-Level"/>
    <s v="Mumbai"/>
    <n v="19.2"/>
    <n v="111600"/>
    <n v="12000"/>
    <n v="4.3"/>
    <n v="36"/>
    <n v="17"/>
    <n v="25"/>
    <n v="3.7"/>
    <s v="No"/>
    <s v="Yes"/>
    <s v="Job Portal"/>
    <d v="2026-06-30T00:00:00"/>
    <n v="3.9"/>
    <n v="4.7"/>
    <x v="7"/>
    <n v="1110"/>
  </r>
  <r>
    <x v="110"/>
    <d v="2025-10-20T00:00:00"/>
    <s v="Marketing"/>
    <s v="Male"/>
    <n v="47"/>
    <s v="Full-Time"/>
    <s v="Mid-Level"/>
    <s v="Delhi"/>
    <n v="26.9"/>
    <n v="140100"/>
    <n v="4000"/>
    <n v="3.8"/>
    <n v="34"/>
    <n v="6"/>
    <n v="10"/>
    <n v="4.4000000000000004"/>
    <s v="No"/>
    <s v="No"/>
    <s v="Employee Referral"/>
    <d v="2026-06-30T00:00:00"/>
    <n v="3.2"/>
    <n v="3.3"/>
    <x v="9"/>
    <n v="1111"/>
  </r>
  <r>
    <x v="111"/>
    <d v="2023-09-30T00:00:00"/>
    <s v="Sales"/>
    <s v="Female"/>
    <n v="43"/>
    <s v="Contract"/>
    <s v="Mid-Level"/>
    <s v="Pune"/>
    <n v="15.9"/>
    <n v="96100"/>
    <n v="11100"/>
    <n v="4.4000000000000004"/>
    <n v="26"/>
    <n v="10"/>
    <n v="1"/>
    <n v="4.2"/>
    <s v="No"/>
    <s v="Yes"/>
    <s v="LinkedIn"/>
    <d v="2025-11-13T00:00:00"/>
    <n v="3.8"/>
    <n v="4.3"/>
    <x v="1"/>
    <n v="1112"/>
  </r>
  <r>
    <x v="112"/>
    <d v="2024-03-10T00:00:00"/>
    <s v="Marketing"/>
    <s v="Male"/>
    <n v="47"/>
    <s v="Full-Time"/>
    <s v="Senior"/>
    <s v="Hyderabad"/>
    <n v="24.3"/>
    <n v="137500"/>
    <n v="12000"/>
    <n v="4.7"/>
    <n v="34"/>
    <n v="11"/>
    <n v="19"/>
    <n v="4.3"/>
    <s v="No"/>
    <s v="Yes"/>
    <s v="Employee Referral"/>
    <d v="2026-06-30T00:00:00"/>
    <n v="3.2"/>
    <n v="3.3"/>
    <x v="6"/>
    <n v="1113"/>
  </r>
  <r>
    <x v="113"/>
    <d v="2021-07-29T00:00:00"/>
    <s v="Sales"/>
    <s v="Female"/>
    <n v="24"/>
    <s v="Full-Time"/>
    <s v="Senior"/>
    <s v="Chennai"/>
    <n v="2.2999999999999998"/>
    <n v="55000"/>
    <n v="3500"/>
    <n v="3.2"/>
    <n v="11"/>
    <n v="2"/>
    <n v="8"/>
    <n v="5"/>
    <s v="No"/>
    <s v="No"/>
    <s v="Employee Referral"/>
    <d v="2025-08-04T00:00:00"/>
    <n v="2.9"/>
    <n v="3.3"/>
    <x v="11"/>
    <n v="1114"/>
  </r>
  <r>
    <x v="114"/>
    <d v="2025-07-08T00:00:00"/>
    <s v="Sales"/>
    <s v="Male"/>
    <n v="45"/>
    <s v="Full-Time"/>
    <s v="Mid-Level"/>
    <s v="Chennai"/>
    <n v="20.8"/>
    <n v="115600"/>
    <n v="3900"/>
    <n v="3.6"/>
    <n v="12"/>
    <n v="12"/>
    <n v="18"/>
    <n v="4.5"/>
    <s v="Yes"/>
    <s v="No"/>
    <s v="Company Website"/>
    <d v="2026-06-30T00:00:00"/>
    <n v="3.2"/>
    <n v="3.4"/>
    <x v="11"/>
    <n v="1115"/>
  </r>
  <r>
    <x v="115"/>
    <d v="2025-08-31T00:00:00"/>
    <s v="Finance"/>
    <s v="Male"/>
    <n v="42"/>
    <s v="Full-Time"/>
    <s v="Junior"/>
    <s v="Chennai"/>
    <n v="18.3"/>
    <n v="96300"/>
    <n v="3700"/>
    <n v="3.2"/>
    <n v="18"/>
    <n v="13"/>
    <n v="25"/>
    <n v="3.6"/>
    <s v="No"/>
    <s v="No"/>
    <s v="Campus"/>
    <d v="2026-06-30T00:00:00"/>
    <n v="3.7"/>
    <n v="4.2"/>
    <x v="2"/>
    <n v="1116"/>
  </r>
  <r>
    <x v="116"/>
    <d v="2025-08-22T00:00:00"/>
    <s v="IT"/>
    <s v="Female"/>
    <n v="54"/>
    <s v="Full-Time"/>
    <s v="Mid-Level"/>
    <s v="Pune"/>
    <n v="31.6"/>
    <n v="152400"/>
    <n v="18100"/>
    <n v="1.9"/>
    <n v="19"/>
    <n v="10"/>
    <n v="7"/>
    <n v="2.8"/>
    <s v="No"/>
    <s v="No"/>
    <s v="Job Portal"/>
    <d v="2026-06-30T00:00:00"/>
    <n v="3.3"/>
    <n v="3.3"/>
    <x v="2"/>
    <n v="1117"/>
  </r>
  <r>
    <x v="117"/>
    <d v="2022-02-27T00:00:00"/>
    <s v="Finance"/>
    <s v="Male"/>
    <n v="39"/>
    <s v="Full-Time"/>
    <s v="Junior"/>
    <s v="Pune"/>
    <n v="15.2"/>
    <n v="87000"/>
    <n v="8500"/>
    <n v="2.9"/>
    <n v="31"/>
    <n v="15"/>
    <n v="29"/>
    <n v="4.0999999999999996"/>
    <s v="No"/>
    <s v="No"/>
    <s v="Campus"/>
    <d v="2023-08-01T00:00:00"/>
    <n v="3.8"/>
    <n v="3.9"/>
    <x v="3"/>
    <n v="1118"/>
  </r>
  <r>
    <x v="118"/>
    <d v="2025-08-04T00:00:00"/>
    <s v="Finance"/>
    <s v="Male"/>
    <n v="40"/>
    <s v="Full-Time"/>
    <s v="Mid-Level"/>
    <s v="Mumbai"/>
    <n v="20.7"/>
    <n v="100800"/>
    <n v="3800"/>
    <n v="3.8"/>
    <n v="24"/>
    <n v="8"/>
    <n v="3"/>
    <n v="3.6"/>
    <s v="No"/>
    <s v="No"/>
    <s v="Employee Referral"/>
    <d v="2026-06-30T00:00:00"/>
    <n v="3.7"/>
    <n v="4.4000000000000004"/>
    <x v="2"/>
    <n v="1119"/>
  </r>
  <r>
    <x v="119"/>
    <d v="2021-03-28T00:00:00"/>
    <s v="Marketing"/>
    <s v="Male"/>
    <n v="33"/>
    <s v="Full-Time"/>
    <s v="Mid-Level"/>
    <s v="Chennai"/>
    <n v="15.9"/>
    <n v="90100"/>
    <n v="2700"/>
    <n v="3.5"/>
    <n v="16"/>
    <n v="11"/>
    <n v="11"/>
    <n v="3.6"/>
    <s v="Yes"/>
    <s v="No"/>
    <s v="Campus"/>
    <d v="2024-08-10T00:00:00"/>
    <n v="3.4"/>
    <n v="3.7"/>
    <x v="6"/>
    <n v="1120"/>
  </r>
  <r>
    <x v="120"/>
    <d v="2022-01-17T00:00:00"/>
    <s v="HR"/>
    <s v="Male"/>
    <n v="30"/>
    <s v="Full-Time"/>
    <s v="Mid-Level"/>
    <s v="Hyderabad"/>
    <n v="3.6"/>
    <n v="55600"/>
    <n v="3600"/>
    <n v="3.2"/>
    <n v="11"/>
    <n v="19"/>
    <n v="20"/>
    <n v="2.7"/>
    <s v="Yes"/>
    <s v="No"/>
    <s v="LinkedIn"/>
    <d v="2024-01-06T00:00:00"/>
    <n v="3.8"/>
    <n v="4.5"/>
    <x v="5"/>
    <n v="1121"/>
  </r>
  <r>
    <x v="121"/>
    <d v="2022-08-29T00:00:00"/>
    <s v="Finance"/>
    <s v="Male"/>
    <n v="52"/>
    <s v="Full-Time"/>
    <s v="Senior"/>
    <s v="Chennai"/>
    <n v="22.8"/>
    <n v="120100"/>
    <n v="9900"/>
    <n v="2.9"/>
    <n v="29"/>
    <n v="10"/>
    <n v="15"/>
    <n v="3"/>
    <s v="No"/>
    <s v="No"/>
    <s v="Company Website"/>
    <d v="2023-11-20T00:00:00"/>
    <n v="4.2"/>
    <n v="4.3"/>
    <x v="2"/>
    <n v="1122"/>
  </r>
  <r>
    <x v="122"/>
    <d v="2024-10-29T00:00:00"/>
    <s v="Operations"/>
    <s v="Male"/>
    <n v="45"/>
    <s v="Part-Time"/>
    <s v="Junior"/>
    <s v="Mumbai"/>
    <n v="16.3"/>
    <n v="79500"/>
    <n v="8900"/>
    <n v="4.3"/>
    <n v="25"/>
    <n v="11"/>
    <n v="11"/>
    <n v="2.4"/>
    <s v="No"/>
    <s v="Yes"/>
    <s v="Campus"/>
    <d v="2026-06-30T00:00:00"/>
    <n v="4.2"/>
    <n v="4.9000000000000004"/>
    <x v="9"/>
    <n v="1123"/>
  </r>
  <r>
    <x v="123"/>
    <d v="2023-10-10T00:00:00"/>
    <s v="Marketing"/>
    <s v="Male"/>
    <n v="38"/>
    <s v="Full-Time"/>
    <s v="Mid-Level"/>
    <s v="Bengaluru"/>
    <n v="19.7"/>
    <n v="110800"/>
    <n v="7800"/>
    <n v="4.2"/>
    <n v="7"/>
    <n v="13"/>
    <n v="0"/>
    <n v="4.9000000000000004"/>
    <s v="No"/>
    <s v="Yes"/>
    <s v="LinkedIn"/>
    <d v="2026-06-30T00:00:00"/>
    <n v="3"/>
    <n v="3.5"/>
    <x v="9"/>
    <n v="1124"/>
  </r>
  <r>
    <x v="124"/>
    <d v="2022-01-25T00:00:00"/>
    <s v="HR"/>
    <s v="Female"/>
    <n v="59"/>
    <s v="Full-Time"/>
    <s v="Senior"/>
    <s v="Delhi"/>
    <n v="35"/>
    <n v="179100"/>
    <n v="6100"/>
    <n v="3.4"/>
    <n v="18"/>
    <n v="8"/>
    <n v="6"/>
    <n v="4.4000000000000004"/>
    <s v="Yes"/>
    <s v="No"/>
    <s v="Campus"/>
    <d v="2025-03-15T00:00:00"/>
    <n v="3.4"/>
    <n v="3.7"/>
    <x v="5"/>
    <n v="1125"/>
  </r>
  <r>
    <x v="125"/>
    <d v="2021-06-08T00:00:00"/>
    <s v="Marketing"/>
    <s v="Female"/>
    <n v="57"/>
    <s v="Contract"/>
    <s v="Senior"/>
    <s v="Bengaluru"/>
    <n v="30.7"/>
    <n v="148000"/>
    <n v="8800"/>
    <n v="3"/>
    <n v="8"/>
    <n v="17"/>
    <n v="16"/>
    <n v="3.6"/>
    <s v="Yes"/>
    <s v="No"/>
    <s v="Employee Referral"/>
    <d v="2022-03-25T00:00:00"/>
    <n v="3.2"/>
    <n v="3.3"/>
    <x v="8"/>
    <n v="1126"/>
  </r>
  <r>
    <x v="126"/>
    <d v="2021-02-28T00:00:00"/>
    <s v="Operations"/>
    <s v="Female"/>
    <n v="53"/>
    <s v="Full-Time"/>
    <s v="Mid-Level"/>
    <s v="Pune"/>
    <n v="30.6"/>
    <n v="142000"/>
    <n v="8500"/>
    <n v="3.3"/>
    <n v="34"/>
    <n v="14"/>
    <n v="3"/>
    <n v="3.1"/>
    <s v="No"/>
    <s v="No"/>
    <s v="Company Website"/>
    <d v="2024-02-14T00:00:00"/>
    <n v="3.6"/>
    <n v="4.4000000000000004"/>
    <x v="3"/>
    <n v="1127"/>
  </r>
  <r>
    <x v="127"/>
    <d v="2023-04-05T00:00:00"/>
    <s v="IT"/>
    <s v="Female"/>
    <n v="60"/>
    <s v="Contract"/>
    <s v="Mid-Level"/>
    <s v="Delhi"/>
    <n v="34.1"/>
    <n v="159600"/>
    <n v="14500"/>
    <n v="4.4000000000000004"/>
    <n v="15"/>
    <n v="14"/>
    <n v="22"/>
    <n v="3.5"/>
    <s v="No"/>
    <s v="Yes"/>
    <s v="Campus"/>
    <d v="2025-10-04T00:00:00"/>
    <n v="4.9000000000000004"/>
    <n v="5"/>
    <x v="4"/>
    <n v="1128"/>
  </r>
  <r>
    <x v="128"/>
    <d v="2025-10-11T00:00:00"/>
    <s v="IT"/>
    <s v="Female"/>
    <n v="43"/>
    <s v="Contract"/>
    <s v="Mid-Level"/>
    <s v="Pune"/>
    <n v="21.1"/>
    <n v="104900"/>
    <n v="10000"/>
    <n v="2.6"/>
    <n v="20"/>
    <n v="15"/>
    <n v="28"/>
    <n v="4.2"/>
    <s v="No"/>
    <s v="No"/>
    <s v="Job Portal"/>
    <d v="2026-06-30T00:00:00"/>
    <n v="3.1"/>
    <n v="3.3"/>
    <x v="9"/>
    <n v="1129"/>
  </r>
  <r>
    <x v="129"/>
    <d v="2021-01-22T00:00:00"/>
    <s v="HR"/>
    <s v="Male"/>
    <n v="45"/>
    <s v="Full-Time"/>
    <s v="Senior"/>
    <s v="Hyderabad"/>
    <n v="18.100000000000001"/>
    <n v="110700"/>
    <n v="12500"/>
    <n v="4.0999999999999996"/>
    <n v="26"/>
    <n v="10"/>
    <n v="12"/>
    <n v="2.9"/>
    <s v="No"/>
    <s v="Yes"/>
    <s v="Job Portal"/>
    <d v="2022-10-26T00:00:00"/>
    <n v="3.6"/>
    <n v="4.3"/>
    <x v="5"/>
    <n v="1130"/>
  </r>
  <r>
    <x v="130"/>
    <d v="2021-08-14T00:00:00"/>
    <s v="Finance"/>
    <s v="Male"/>
    <n v="55"/>
    <s v="Full-Time"/>
    <s v="Mid-Level"/>
    <s v="Hyderabad"/>
    <n v="35"/>
    <n v="147500"/>
    <n v="13900"/>
    <n v="3.7"/>
    <n v="38"/>
    <n v="5"/>
    <n v="23"/>
    <n v="2.6"/>
    <s v="Yes"/>
    <s v="No"/>
    <s v="LinkedIn"/>
    <d v="2025-06-23T00:00:00"/>
    <n v="4.0999999999999996"/>
    <n v="4.9000000000000004"/>
    <x v="2"/>
    <n v="1131"/>
  </r>
  <r>
    <x v="131"/>
    <d v="2021-02-12T00:00:00"/>
    <s v="Sales"/>
    <s v="Female"/>
    <n v="56"/>
    <s v="Full-Time"/>
    <s v="Mid-Level"/>
    <s v="Chennai"/>
    <n v="35"/>
    <n v="152000"/>
    <n v="3400"/>
    <n v="3.8"/>
    <n v="37"/>
    <n v="12"/>
    <n v="0"/>
    <n v="2.8"/>
    <s v="No"/>
    <s v="No"/>
    <s v="LinkedIn"/>
    <d v="2024-04-10T00:00:00"/>
    <n v="4.4000000000000004"/>
    <n v="4.9000000000000004"/>
    <x v="3"/>
    <n v="1132"/>
  </r>
  <r>
    <x v="132"/>
    <d v="2024-04-05T00:00:00"/>
    <s v="Sales"/>
    <s v="Male"/>
    <n v="58"/>
    <s v="Full-Time"/>
    <s v="Senior"/>
    <s v="Hyderabad"/>
    <n v="35"/>
    <n v="169700"/>
    <n v="9100"/>
    <n v="3.8"/>
    <n v="32"/>
    <n v="4"/>
    <n v="12"/>
    <n v="5"/>
    <s v="No"/>
    <s v="No"/>
    <s v="Company Website"/>
    <d v="2026-06-30T00:00:00"/>
    <n v="3.7"/>
    <n v="4"/>
    <x v="4"/>
    <n v="1133"/>
  </r>
  <r>
    <x v="133"/>
    <d v="2025-03-07T00:00:00"/>
    <s v="Sales"/>
    <s v="Female"/>
    <n v="25"/>
    <s v="Full-Time"/>
    <s v="Junior"/>
    <s v="Pune"/>
    <n v="0"/>
    <n v="26700"/>
    <n v="2300"/>
    <n v="3.3"/>
    <n v="11"/>
    <n v="10"/>
    <n v="21"/>
    <n v="3.2"/>
    <s v="No"/>
    <s v="No"/>
    <s v="LinkedIn"/>
    <d v="2026-06-30T00:00:00"/>
    <n v="2.9"/>
    <n v="3.1"/>
    <x v="6"/>
    <n v="1134"/>
  </r>
  <r>
    <x v="134"/>
    <d v="2025-09-16T00:00:00"/>
    <s v="Sales"/>
    <s v="Male"/>
    <n v="36"/>
    <s v="Full-Time"/>
    <s v="Senior"/>
    <s v="Chennai"/>
    <n v="11.3"/>
    <n v="89800"/>
    <n v="4300"/>
    <n v="3.7"/>
    <n v="20"/>
    <n v="18"/>
    <n v="12"/>
    <n v="4.0999999999999996"/>
    <s v="No"/>
    <s v="No"/>
    <s v="LinkedIn"/>
    <d v="2026-06-30T00:00:00"/>
    <n v="3.2"/>
    <n v="3.4"/>
    <x v="1"/>
    <n v="1135"/>
  </r>
  <r>
    <x v="135"/>
    <d v="2022-11-01T00:00:00"/>
    <s v="HR"/>
    <s v="Female"/>
    <n v="38"/>
    <s v="Full-Time"/>
    <s v="Junior"/>
    <s v="Hyderabad"/>
    <n v="19"/>
    <n v="101200"/>
    <n v="10600"/>
    <n v="3.5"/>
    <n v="9"/>
    <n v="11"/>
    <n v="10"/>
    <n v="3"/>
    <s v="No"/>
    <s v="No"/>
    <s v="Employee Referral"/>
    <d v="2024-08-24T00:00:00"/>
    <n v="3.5"/>
    <n v="3.8"/>
    <x v="10"/>
    <n v="1136"/>
  </r>
  <r>
    <x v="136"/>
    <d v="2025-03-11T00:00:00"/>
    <s v="IT"/>
    <s v="Female"/>
    <n v="29"/>
    <s v="Full-Time"/>
    <s v="Junior"/>
    <s v="Bengaluru"/>
    <n v="7.2"/>
    <n v="54700"/>
    <n v="1300"/>
    <n v="3.3"/>
    <n v="12"/>
    <n v="4"/>
    <n v="14"/>
    <n v="3.7"/>
    <s v="No"/>
    <s v="No"/>
    <s v="Job Portal"/>
    <d v="2026-05-28T00:00:00"/>
    <n v="3.4"/>
    <n v="3.9"/>
    <x v="6"/>
    <n v="1137"/>
  </r>
  <r>
    <x v="137"/>
    <d v="2025-09-08T00:00:00"/>
    <s v="Operations"/>
    <s v="Male"/>
    <n v="55"/>
    <s v="Full-Time"/>
    <s v="Junior"/>
    <s v="Delhi"/>
    <n v="33.700000000000003"/>
    <n v="148500"/>
    <n v="14000"/>
    <n v="3.9"/>
    <n v="36"/>
    <n v="12"/>
    <n v="28"/>
    <n v="4.7"/>
    <s v="Yes"/>
    <s v="No"/>
    <s v="Campus"/>
    <d v="2026-06-30T00:00:00"/>
    <n v="4.9000000000000004"/>
    <n v="5"/>
    <x v="1"/>
    <n v="1138"/>
  </r>
  <r>
    <x v="138"/>
    <d v="2023-06-04T00:00:00"/>
    <s v="IT"/>
    <s v="Female"/>
    <n v="53"/>
    <s v="Part-Time"/>
    <s v="Junior"/>
    <s v="Pune"/>
    <n v="31.3"/>
    <n v="133500"/>
    <n v="3000"/>
    <n v="3.7"/>
    <n v="23"/>
    <n v="16"/>
    <n v="29"/>
    <n v="2.7"/>
    <s v="Yes"/>
    <s v="No"/>
    <s v="Campus"/>
    <d v="2025-03-12T00:00:00"/>
    <n v="3.7"/>
    <n v="3.9"/>
    <x v="8"/>
    <n v="1139"/>
  </r>
  <r>
    <x v="139"/>
    <d v="2021-07-31T00:00:00"/>
    <s v="Sales"/>
    <s v="Female"/>
    <n v="57"/>
    <s v="Part-Time"/>
    <s v="Junior"/>
    <s v="Hyderabad"/>
    <n v="32.299999999999997"/>
    <n v="150000"/>
    <n v="6800"/>
    <n v="4.4000000000000004"/>
    <n v="19"/>
    <n v="13"/>
    <n v="26"/>
    <n v="4.5"/>
    <s v="No"/>
    <s v="Yes"/>
    <s v="Job Portal"/>
    <d v="2023-12-10T00:00:00"/>
    <n v="4.2"/>
    <n v="4.3"/>
    <x v="11"/>
    <n v="1140"/>
  </r>
  <r>
    <x v="140"/>
    <d v="2023-01-15T00:00:00"/>
    <s v="Operations"/>
    <s v="Male"/>
    <n v="36"/>
    <s v="Contract"/>
    <s v="Mid-Level"/>
    <s v="Mumbai"/>
    <n v="6.8"/>
    <n v="59300"/>
    <n v="2500"/>
    <n v="2"/>
    <n v="38"/>
    <n v="9"/>
    <n v="27"/>
    <n v="2.8"/>
    <s v="No"/>
    <s v="No"/>
    <s v="Campus"/>
    <d v="2025-07-27T00:00:00"/>
    <n v="2.4"/>
    <n v="2.9"/>
    <x v="5"/>
    <n v="1141"/>
  </r>
  <r>
    <x v="141"/>
    <d v="2024-12-07T00:00:00"/>
    <s v="HR"/>
    <s v="Male"/>
    <n v="49"/>
    <s v="Full-Time"/>
    <s v="Senior"/>
    <s v="Pune"/>
    <n v="28.8"/>
    <n v="145400"/>
    <n v="14300"/>
    <n v="3.4"/>
    <n v="7"/>
    <n v="16"/>
    <n v="21"/>
    <n v="4.0999999999999996"/>
    <s v="Yes"/>
    <s v="No"/>
    <s v="Company Website"/>
    <d v="2026-06-30T00:00:00"/>
    <n v="4.0999999999999996"/>
    <n v="3.9"/>
    <x v="7"/>
    <n v="1142"/>
  </r>
  <r>
    <x v="142"/>
    <d v="2025-12-23T00:00:00"/>
    <s v="IT"/>
    <s v="Female"/>
    <n v="59"/>
    <s v="Full-Time"/>
    <s v="Senior"/>
    <s v="Chennai"/>
    <n v="35"/>
    <n v="159400"/>
    <n v="8300"/>
    <n v="3.8"/>
    <n v="10"/>
    <n v="13"/>
    <n v="9"/>
    <n v="3.2"/>
    <s v="No"/>
    <s v="No"/>
    <s v="Campus"/>
    <d v="2026-06-30T00:00:00"/>
    <n v="3.7"/>
    <n v="3.9"/>
    <x v="7"/>
    <n v="1143"/>
  </r>
  <r>
    <x v="143"/>
    <d v="2021-02-05T00:00:00"/>
    <s v="HR"/>
    <s v="Male"/>
    <n v="47"/>
    <s v="Part-Time"/>
    <s v="Senior"/>
    <s v="Chennai"/>
    <n v="24.8"/>
    <n v="142800"/>
    <n v="7100"/>
    <n v="3"/>
    <n v="27"/>
    <n v="15"/>
    <n v="22"/>
    <n v="4.5999999999999996"/>
    <s v="No"/>
    <s v="No"/>
    <s v="LinkedIn"/>
    <d v="2023-05-18T00:00:00"/>
    <n v="2.5"/>
    <n v="3.3"/>
    <x v="3"/>
    <n v="1144"/>
  </r>
  <r>
    <x v="144"/>
    <d v="2025-11-23T00:00:00"/>
    <s v="Sales"/>
    <s v="Female"/>
    <n v="37"/>
    <s v="Full-Time"/>
    <s v="Mid-Level"/>
    <s v="Mumbai"/>
    <n v="10.5"/>
    <n v="69000"/>
    <n v="3200"/>
    <n v="4.2"/>
    <n v="29"/>
    <n v="20"/>
    <n v="24"/>
    <n v="3.6"/>
    <s v="No"/>
    <s v="Yes"/>
    <s v="Company Website"/>
    <d v="2026-06-30T00:00:00"/>
    <n v="3.2"/>
    <n v="3.1"/>
    <x v="10"/>
    <n v="1145"/>
  </r>
  <r>
    <x v="145"/>
    <d v="2024-07-22T00:00:00"/>
    <s v="Finance"/>
    <s v="Female"/>
    <n v="57"/>
    <s v="Full-Time"/>
    <s v="Mid-Level"/>
    <s v="Chennai"/>
    <n v="30.4"/>
    <n v="141600"/>
    <n v="13400"/>
    <n v="4.4000000000000004"/>
    <n v="17"/>
    <n v="14"/>
    <n v="24"/>
    <n v="2.2999999999999998"/>
    <s v="No"/>
    <s v="Yes"/>
    <s v="Company Website"/>
    <d v="2026-06-30T00:00:00"/>
    <n v="3.7"/>
    <n v="3.9"/>
    <x v="11"/>
    <n v="1146"/>
  </r>
  <r>
    <x v="146"/>
    <d v="2023-06-08T00:00:00"/>
    <s v="Marketing"/>
    <s v="Male"/>
    <n v="34"/>
    <s v="Contract"/>
    <s v="Senior"/>
    <s v="Mumbai"/>
    <n v="6.8"/>
    <n v="87300"/>
    <n v="3100"/>
    <n v="2.6"/>
    <n v="8"/>
    <n v="15"/>
    <n v="30"/>
    <n v="3.4"/>
    <s v="No"/>
    <s v="No"/>
    <s v="Employee Referral"/>
    <d v="2026-06-30T00:00:00"/>
    <n v="3.6"/>
    <n v="4.4000000000000004"/>
    <x v="8"/>
    <n v="1147"/>
  </r>
  <r>
    <x v="147"/>
    <d v="2021-12-24T00:00:00"/>
    <s v="Sales"/>
    <s v="Male"/>
    <n v="32"/>
    <s v="Full-Time"/>
    <s v="Senior"/>
    <s v="Bengaluru"/>
    <n v="5.2"/>
    <n v="73000"/>
    <n v="1700"/>
    <n v="3.3"/>
    <n v="19"/>
    <n v="13"/>
    <n v="20"/>
    <n v="4.2"/>
    <s v="Yes"/>
    <s v="No"/>
    <s v="Company Website"/>
    <d v="2025-08-15T00:00:00"/>
    <n v="4.2"/>
    <n v="4.4000000000000004"/>
    <x v="7"/>
    <n v="1148"/>
  </r>
  <r>
    <x v="148"/>
    <d v="2024-10-18T00:00:00"/>
    <s v="Sales"/>
    <s v="Male"/>
    <n v="49"/>
    <s v="Full-Time"/>
    <s v="Mid-Level"/>
    <s v="Mumbai"/>
    <n v="23.3"/>
    <n v="113600"/>
    <n v="9500"/>
    <n v="3.7"/>
    <n v="37"/>
    <n v="9"/>
    <n v="6"/>
    <n v="3"/>
    <s v="No"/>
    <s v="No"/>
    <s v="LinkedIn"/>
    <d v="2026-06-30T00:00:00"/>
    <n v="2.2000000000000002"/>
    <n v="2.9"/>
    <x v="9"/>
    <n v="1149"/>
  </r>
  <r>
    <x v="149"/>
    <d v="2021-12-23T00:00:00"/>
    <s v="Finance"/>
    <s v="Male"/>
    <n v="42"/>
    <s v="Contract"/>
    <s v="Senior"/>
    <s v="Pune"/>
    <n v="21"/>
    <n v="121200"/>
    <n v="4600"/>
    <n v="3.9"/>
    <n v="19"/>
    <n v="9"/>
    <n v="19"/>
    <n v="4"/>
    <s v="No"/>
    <s v="No"/>
    <s v="Campus"/>
    <d v="2025-06-08T00:00:00"/>
    <n v="3.3"/>
    <n v="4.0999999999999996"/>
    <x v="7"/>
    <n v="1150"/>
  </r>
  <r>
    <x v="150"/>
    <d v="2021-06-29T00:00:00"/>
    <s v="Finance"/>
    <s v="Male"/>
    <n v="45"/>
    <s v="Part-Time"/>
    <s v="Mid-Level"/>
    <s v="Hyderabad"/>
    <n v="23.7"/>
    <n v="115900"/>
    <n v="7000"/>
    <n v="2.9"/>
    <n v="19"/>
    <n v="15"/>
    <n v="19"/>
    <n v="4.3"/>
    <s v="No"/>
    <s v="No"/>
    <s v="Company Website"/>
    <d v="2025-02-25T00:00:00"/>
    <n v="2.2999999999999998"/>
    <n v="2.6"/>
    <x v="8"/>
    <n v="1151"/>
  </r>
  <r>
    <x v="151"/>
    <d v="2023-02-28T00:00:00"/>
    <s v="Finance"/>
    <s v="Male"/>
    <n v="52"/>
    <s v="Full-Time"/>
    <s v="Mid-Level"/>
    <s v="Chennai"/>
    <n v="25.5"/>
    <n v="121200"/>
    <n v="12800"/>
    <n v="3.6"/>
    <n v="19"/>
    <n v="12"/>
    <n v="20"/>
    <n v="3.6"/>
    <s v="No"/>
    <s v="No"/>
    <s v="Job Portal"/>
    <d v="2026-06-30T00:00:00"/>
    <n v="3.5"/>
    <n v="3.7"/>
    <x v="3"/>
    <n v="1152"/>
  </r>
  <r>
    <x v="152"/>
    <d v="2021-10-03T00:00:00"/>
    <s v="Operations"/>
    <s v="Male"/>
    <n v="50"/>
    <s v="Full-Time"/>
    <s v="Senior"/>
    <s v="Chennai"/>
    <n v="30.7"/>
    <n v="161500"/>
    <n v="13500"/>
    <n v="3.9"/>
    <n v="30"/>
    <n v="12"/>
    <n v="20"/>
    <n v="3"/>
    <s v="No"/>
    <s v="No"/>
    <s v="Job Portal"/>
    <d v="2025-11-06T00:00:00"/>
    <n v="3"/>
    <n v="3.4"/>
    <x v="9"/>
    <n v="1153"/>
  </r>
  <r>
    <x v="153"/>
    <d v="2024-04-07T00:00:00"/>
    <s v="Marketing"/>
    <s v="Male"/>
    <n v="55"/>
    <s v="Part-Time"/>
    <s v="Mid-Level"/>
    <s v="Bengaluru"/>
    <n v="27.4"/>
    <n v="137000"/>
    <n v="10300"/>
    <n v="3.3"/>
    <n v="30"/>
    <n v="10"/>
    <n v="24"/>
    <n v="3.2"/>
    <s v="No"/>
    <s v="No"/>
    <s v="Job Portal"/>
    <d v="2026-06-30T00:00:00"/>
    <n v="3.9"/>
    <n v="4.0999999999999996"/>
    <x v="4"/>
    <n v="1154"/>
  </r>
  <r>
    <x v="154"/>
    <d v="2023-08-21T00:00:00"/>
    <s v="Marketing"/>
    <s v="Male"/>
    <n v="48"/>
    <s v="Contract"/>
    <s v="Mid-Level"/>
    <s v="Bengaluru"/>
    <n v="22.5"/>
    <n v="111900"/>
    <n v="4700"/>
    <n v="4"/>
    <n v="35"/>
    <n v="10"/>
    <n v="1"/>
    <n v="3.4"/>
    <s v="No"/>
    <s v="Yes"/>
    <s v="LinkedIn"/>
    <d v="2024-03-02T00:00:00"/>
    <n v="3.2"/>
    <n v="3.6"/>
    <x v="2"/>
    <n v="1155"/>
  </r>
  <r>
    <x v="155"/>
    <d v="2022-04-24T00:00:00"/>
    <s v="IT"/>
    <s v="Female"/>
    <n v="56"/>
    <s v="Full-Time"/>
    <s v="Mid-Level"/>
    <s v="Pune"/>
    <n v="33.9"/>
    <n v="149400"/>
    <n v="9000"/>
    <n v="4.4000000000000004"/>
    <n v="16"/>
    <n v="7"/>
    <n v="19"/>
    <n v="5"/>
    <s v="No"/>
    <s v="Yes"/>
    <s v="Company Website"/>
    <d v="2024-02-27T00:00:00"/>
    <n v="3.1"/>
    <n v="3.4"/>
    <x v="4"/>
    <n v="1156"/>
  </r>
  <r>
    <x v="156"/>
    <d v="2025-07-10T00:00:00"/>
    <s v="Operations"/>
    <s v="Male"/>
    <n v="46"/>
    <s v="Full-Time"/>
    <s v="Mid-Level"/>
    <s v="Mumbai"/>
    <n v="26.5"/>
    <n v="120900"/>
    <n v="10500"/>
    <n v="2.9"/>
    <n v="23"/>
    <n v="18"/>
    <n v="30"/>
    <n v="4.0999999999999996"/>
    <s v="No"/>
    <s v="No"/>
    <s v="Employee Referral"/>
    <d v="2026-06-30T00:00:00"/>
    <n v="4.2"/>
    <n v="4.8"/>
    <x v="11"/>
    <n v="1157"/>
  </r>
  <r>
    <x v="157"/>
    <d v="2024-10-29T00:00:00"/>
    <s v="Operations"/>
    <s v="Male"/>
    <n v="45"/>
    <s v="Full-Time"/>
    <s v="Manager"/>
    <s v="Mumbai"/>
    <n v="22.9"/>
    <n v="141800"/>
    <n v="9400"/>
    <n v="4.8"/>
    <n v="28"/>
    <n v="18"/>
    <n v="24"/>
    <n v="3.1"/>
    <s v="No"/>
    <s v="Yes"/>
    <s v="Company Website"/>
    <d v="2026-06-30T00:00:00"/>
    <n v="4.5"/>
    <n v="5"/>
    <x v="9"/>
    <n v="1158"/>
  </r>
  <r>
    <x v="158"/>
    <d v="2024-11-20T00:00:00"/>
    <s v="Marketing"/>
    <s v="Female"/>
    <n v="32"/>
    <s v="Full-Time"/>
    <s v="Senior"/>
    <s v="Pune"/>
    <n v="8.4"/>
    <n v="82200"/>
    <n v="6800"/>
    <n v="3.2"/>
    <n v="25"/>
    <n v="6"/>
    <n v="28"/>
    <n v="3.6"/>
    <s v="Yes"/>
    <s v="No"/>
    <s v="LinkedIn"/>
    <d v="2026-03-03T00:00:00"/>
    <n v="2.5"/>
    <n v="2.8"/>
    <x v="10"/>
    <n v="1159"/>
  </r>
  <r>
    <x v="159"/>
    <d v="2021-02-10T00:00:00"/>
    <s v="IT"/>
    <s v="Male"/>
    <n v="44"/>
    <s v="Full-Time"/>
    <s v="Mid-Level"/>
    <s v="Bengaluru"/>
    <n v="21.2"/>
    <n v="114200"/>
    <n v="11600"/>
    <n v="2.4"/>
    <n v="23"/>
    <n v="3"/>
    <n v="21"/>
    <n v="2.9"/>
    <s v="No"/>
    <s v="No"/>
    <s v="Company Website"/>
    <d v="2023-05-08T00:00:00"/>
    <n v="2.8"/>
    <n v="3.5"/>
    <x v="3"/>
    <n v="1160"/>
  </r>
  <r>
    <x v="160"/>
    <d v="2023-11-15T00:00:00"/>
    <s v="Marketing"/>
    <s v="Male"/>
    <n v="42"/>
    <s v="Contract"/>
    <s v="Senior"/>
    <s v="Delhi"/>
    <n v="19.399999999999999"/>
    <n v="117000"/>
    <n v="3200"/>
    <n v="4.5"/>
    <n v="12"/>
    <n v="5"/>
    <n v="9"/>
    <n v="5"/>
    <s v="No"/>
    <s v="Yes"/>
    <s v="Campus"/>
    <d v="2026-01-10T00:00:00"/>
    <n v="3.4"/>
    <n v="3.9"/>
    <x v="10"/>
    <n v="1161"/>
  </r>
  <r>
    <x v="161"/>
    <d v="2023-03-03T00:00:00"/>
    <s v="HR"/>
    <s v="Female"/>
    <n v="38"/>
    <s v="Part-Time"/>
    <s v="Senior"/>
    <s v="Bengaluru"/>
    <n v="13.2"/>
    <n v="97400"/>
    <n v="11200"/>
    <n v="2.8"/>
    <n v="31"/>
    <n v="16"/>
    <n v="11"/>
    <n v="4.2"/>
    <s v="No"/>
    <s v="No"/>
    <s v="LinkedIn"/>
    <d v="2024-10-25T00:00:00"/>
    <n v="3.8"/>
    <n v="3.9"/>
    <x v="6"/>
    <n v="1162"/>
  </r>
  <r>
    <x v="162"/>
    <d v="2021-09-11T00:00:00"/>
    <s v="Finance"/>
    <s v="Male"/>
    <n v="22"/>
    <s v="Full-Time"/>
    <s v="Junior"/>
    <s v="Hyderabad"/>
    <n v="0"/>
    <n v="35200"/>
    <n v="2900"/>
    <n v="3.2"/>
    <n v="23"/>
    <n v="7"/>
    <n v="2"/>
    <n v="3.3"/>
    <s v="No"/>
    <s v="No"/>
    <s v="Employee Referral"/>
    <d v="2024-05-26T00:00:00"/>
    <n v="4.0999999999999996"/>
    <n v="4.5999999999999996"/>
    <x v="1"/>
    <n v="1163"/>
  </r>
  <r>
    <x v="163"/>
    <d v="2022-05-24T00:00:00"/>
    <s v="Finance"/>
    <s v="Male"/>
    <n v="25"/>
    <s v="Full-Time"/>
    <s v="Mid-Level"/>
    <s v="Hyderabad"/>
    <n v="0"/>
    <n v="36100"/>
    <n v="700"/>
    <n v="3.1"/>
    <n v="23"/>
    <n v="9"/>
    <n v="13"/>
    <n v="4.2"/>
    <s v="Yes"/>
    <s v="No"/>
    <s v="Company Website"/>
    <d v="2025-04-10T00:00:00"/>
    <n v="3.8"/>
    <n v="4.4000000000000004"/>
    <x v="0"/>
    <n v="1164"/>
  </r>
  <r>
    <x v="164"/>
    <d v="2022-05-14T00:00:00"/>
    <s v="Finance"/>
    <s v="Female"/>
    <n v="53"/>
    <s v="Full-Time"/>
    <s v="Senior"/>
    <s v="Pune"/>
    <n v="32.299999999999997"/>
    <n v="156800"/>
    <n v="9200"/>
    <n v="3.6"/>
    <n v="25"/>
    <n v="10"/>
    <n v="3"/>
    <n v="5"/>
    <s v="Yes"/>
    <s v="No"/>
    <s v="Campus"/>
    <d v="2024-09-27T00:00:00"/>
    <n v="4.5999999999999996"/>
    <n v="5"/>
    <x v="0"/>
    <n v="1165"/>
  </r>
  <r>
    <x v="165"/>
    <d v="2025-09-14T00:00:00"/>
    <s v="Marketing"/>
    <s v="Female"/>
    <n v="57"/>
    <s v="Contract"/>
    <s v="Junior"/>
    <s v="Delhi"/>
    <n v="31.4"/>
    <n v="128300"/>
    <n v="6300"/>
    <n v="4"/>
    <n v="23"/>
    <n v="15"/>
    <n v="14"/>
    <n v="3.3"/>
    <s v="No"/>
    <s v="Yes"/>
    <s v="Campus"/>
    <d v="2026-06-30T00:00:00"/>
    <n v="3.5"/>
    <n v="3.7"/>
    <x v="1"/>
    <n v="1166"/>
  </r>
  <r>
    <x v="166"/>
    <d v="2023-10-27T00:00:00"/>
    <s v="Operations"/>
    <s v="Female"/>
    <n v="26"/>
    <s v="Full-Time"/>
    <s v="Junior"/>
    <s v="Pune"/>
    <n v="6.6"/>
    <n v="58500"/>
    <n v="6300"/>
    <n v="4.5999999999999996"/>
    <n v="6"/>
    <n v="12"/>
    <n v="25"/>
    <n v="3.6"/>
    <s v="No"/>
    <s v="Yes"/>
    <s v="LinkedIn"/>
    <d v="2026-06-30T00:00:00"/>
    <n v="4.4000000000000004"/>
    <n v="4.9000000000000004"/>
    <x v="9"/>
    <n v="1167"/>
  </r>
  <r>
    <x v="167"/>
    <d v="2022-12-23T00:00:00"/>
    <s v="Sales"/>
    <s v="Male"/>
    <n v="41"/>
    <s v="Full-Time"/>
    <s v="Manager"/>
    <s v="Delhi"/>
    <n v="14.5"/>
    <n v="111000"/>
    <n v="13200"/>
    <n v="4.0999999999999996"/>
    <n v="29"/>
    <n v="11"/>
    <n v="19"/>
    <n v="3.6"/>
    <s v="No"/>
    <s v="Yes"/>
    <s v="LinkedIn"/>
    <d v="2026-01-08T00:00:00"/>
    <n v="4.8"/>
    <n v="5"/>
    <x v="7"/>
    <n v="1168"/>
  </r>
  <r>
    <x v="168"/>
    <d v="2022-04-16T00:00:00"/>
    <s v="IT"/>
    <s v="Male"/>
    <n v="25"/>
    <s v="Contract"/>
    <s v="Mid-Level"/>
    <s v="Pune"/>
    <n v="5"/>
    <n v="60900"/>
    <n v="6200"/>
    <n v="3.8"/>
    <n v="35"/>
    <n v="19"/>
    <n v="15"/>
    <n v="3.2"/>
    <s v="No"/>
    <s v="No"/>
    <s v="Company Website"/>
    <d v="2025-03-04T00:00:00"/>
    <n v="3.9"/>
    <n v="4.4000000000000004"/>
    <x v="4"/>
    <n v="1169"/>
  </r>
  <r>
    <x v="169"/>
    <d v="2021-05-07T00:00:00"/>
    <s v="Sales"/>
    <s v="Female"/>
    <n v="55"/>
    <s v="Full-Time"/>
    <s v="Mid-Level"/>
    <s v="Bengaluru"/>
    <n v="28.9"/>
    <n v="131500"/>
    <n v="6600"/>
    <n v="3.1"/>
    <n v="18"/>
    <n v="15"/>
    <n v="0"/>
    <n v="3.4"/>
    <s v="No"/>
    <s v="No"/>
    <s v="Campus"/>
    <d v="2023-03-11T00:00:00"/>
    <n v="3.4"/>
    <n v="3.9"/>
    <x v="0"/>
    <n v="1170"/>
  </r>
  <r>
    <x v="170"/>
    <d v="2023-05-19T00:00:00"/>
    <s v="Marketing"/>
    <s v="Male"/>
    <n v="39"/>
    <s v="Contract"/>
    <s v="Junior"/>
    <s v="Pune"/>
    <n v="18.899999999999999"/>
    <n v="91900"/>
    <n v="8500"/>
    <n v="3.9"/>
    <n v="34"/>
    <n v="15"/>
    <n v="20"/>
    <n v="3.7"/>
    <s v="No"/>
    <s v="No"/>
    <s v="Campus"/>
    <d v="2024-10-15T00:00:00"/>
    <n v="2.9"/>
    <n v="2.9"/>
    <x v="0"/>
    <n v="1171"/>
  </r>
  <r>
    <x v="171"/>
    <d v="2023-07-26T00:00:00"/>
    <s v="Marketing"/>
    <s v="Male"/>
    <n v="50"/>
    <s v="Full-Time"/>
    <s v="Junior"/>
    <s v="Bengaluru"/>
    <n v="26.1"/>
    <n v="117200"/>
    <n v="3100"/>
    <n v="3"/>
    <n v="38"/>
    <n v="14"/>
    <n v="16"/>
    <n v="3.9"/>
    <s v="No"/>
    <s v="No"/>
    <s v="LinkedIn"/>
    <d v="2024-04-14T00:00:00"/>
    <n v="3.7"/>
    <n v="4.4000000000000004"/>
    <x v="11"/>
    <n v="1172"/>
  </r>
  <r>
    <x v="172"/>
    <d v="2023-07-31T00:00:00"/>
    <s v="Marketing"/>
    <s v="Female"/>
    <n v="28"/>
    <s v="Contract"/>
    <s v="Mid-Level"/>
    <s v="Delhi"/>
    <n v="7.3"/>
    <n v="53100"/>
    <n v="4700"/>
    <n v="3.9"/>
    <n v="15"/>
    <n v="14"/>
    <n v="16"/>
    <n v="3.9"/>
    <s v="No"/>
    <s v="No"/>
    <s v="Campus"/>
    <d v="2024-11-25T00:00:00"/>
    <n v="3.5"/>
    <n v="3.7"/>
    <x v="11"/>
    <n v="1173"/>
  </r>
  <r>
    <x v="173"/>
    <d v="2025-01-17T00:00:00"/>
    <s v="IT"/>
    <s v="Female"/>
    <n v="28"/>
    <s v="Full-Time"/>
    <s v="Manager"/>
    <s v="Hyderabad"/>
    <n v="6.6"/>
    <n v="89900"/>
    <n v="3900"/>
    <n v="3.8"/>
    <n v="10"/>
    <n v="10"/>
    <n v="3"/>
    <n v="3.7"/>
    <s v="No"/>
    <s v="No"/>
    <s v="Campus"/>
    <d v="2026-06-30T00:00:00"/>
    <n v="4.3"/>
    <n v="4.7"/>
    <x v="5"/>
    <n v="1174"/>
  </r>
  <r>
    <x v="174"/>
    <d v="2021-12-28T00:00:00"/>
    <s v="Finance"/>
    <s v="Male"/>
    <n v="25"/>
    <s v="Full-Time"/>
    <s v="Senior"/>
    <s v="Delhi"/>
    <n v="0"/>
    <n v="46500"/>
    <n v="3000"/>
    <n v="4.2"/>
    <n v="31"/>
    <n v="14"/>
    <n v="3"/>
    <n v="2.4"/>
    <s v="No"/>
    <s v="No"/>
    <s v="Campus"/>
    <d v="2023-12-30T00:00:00"/>
    <n v="3.8"/>
    <n v="4.2"/>
    <x v="7"/>
    <n v="1175"/>
  </r>
  <r>
    <x v="175"/>
    <d v="2023-04-28T00:00:00"/>
    <s v="Finance"/>
    <s v="Male"/>
    <n v="58"/>
    <s v="Part-Time"/>
    <s v="Mid-Level"/>
    <s v="Delhi"/>
    <n v="29.3"/>
    <n v="147800"/>
    <n v="10000"/>
    <n v="3.7"/>
    <n v="30"/>
    <n v="11"/>
    <n v="29"/>
    <n v="3.8"/>
    <s v="No"/>
    <s v="No"/>
    <s v="Company Website"/>
    <d v="2025-09-21T00:00:00"/>
    <n v="3.4"/>
    <n v="3.5"/>
    <x v="4"/>
    <n v="1176"/>
  </r>
  <r>
    <x v="176"/>
    <d v="2023-02-22T00:00:00"/>
    <s v="Sales"/>
    <s v="Female"/>
    <n v="23"/>
    <s v="Full-Time"/>
    <s v="Mid-Level"/>
    <s v="Mumbai"/>
    <n v="1"/>
    <n v="50900"/>
    <n v="3300"/>
    <n v="3.6"/>
    <n v="32"/>
    <n v="11"/>
    <n v="7"/>
    <n v="3.8"/>
    <s v="No"/>
    <s v="No"/>
    <s v="Employee Referral"/>
    <d v="2026-06-01T00:00:00"/>
    <n v="4"/>
    <n v="4.3"/>
    <x v="3"/>
    <n v="1177"/>
  </r>
  <r>
    <x v="177"/>
    <d v="2023-05-27T00:00:00"/>
    <s v="IT"/>
    <s v="Female"/>
    <n v="46"/>
    <s v="Full-Time"/>
    <s v="Junior"/>
    <s v="Bengaluru"/>
    <n v="17.8"/>
    <n v="94700"/>
    <n v="3600"/>
    <n v="3.9"/>
    <n v="37"/>
    <n v="9"/>
    <n v="17"/>
    <n v="3"/>
    <s v="No"/>
    <s v="No"/>
    <s v="Job Portal"/>
    <d v="2026-06-30T00:00:00"/>
    <n v="2.7"/>
    <n v="2.6"/>
    <x v="0"/>
    <n v="1178"/>
  </r>
  <r>
    <x v="178"/>
    <d v="2023-07-17T00:00:00"/>
    <s v="Operations"/>
    <s v="Female"/>
    <n v="42"/>
    <s v="Part-Time"/>
    <s v="Mid-Level"/>
    <s v="Delhi"/>
    <n v="18.899999999999999"/>
    <n v="93900"/>
    <n v="3200"/>
    <n v="3.4"/>
    <n v="10"/>
    <n v="13"/>
    <n v="2"/>
    <n v="3.4"/>
    <s v="No"/>
    <s v="No"/>
    <s v="Company Website"/>
    <d v="2026-01-06T00:00:00"/>
    <n v="5"/>
    <n v="5"/>
    <x v="11"/>
    <n v="1179"/>
  </r>
  <r>
    <x v="179"/>
    <d v="2022-01-02T00:00:00"/>
    <s v="IT"/>
    <s v="Male"/>
    <n v="43"/>
    <s v="Full-Time"/>
    <s v="Senior"/>
    <s v="Delhi"/>
    <n v="21.9"/>
    <n v="117700"/>
    <n v="7800"/>
    <n v="3.3"/>
    <n v="12"/>
    <n v="12"/>
    <n v="2"/>
    <n v="4.7"/>
    <s v="No"/>
    <s v="No"/>
    <s v="LinkedIn"/>
    <d v="2025-12-28T00:00:00"/>
    <n v="3.3"/>
    <n v="3.8"/>
    <x v="5"/>
    <n v="1180"/>
  </r>
  <r>
    <x v="180"/>
    <d v="2022-06-20T00:00:00"/>
    <s v="Marketing"/>
    <s v="Male"/>
    <n v="29"/>
    <s v="Full-Time"/>
    <s v="Junior"/>
    <s v="Chennai"/>
    <n v="5.7"/>
    <n v="51700"/>
    <n v="3800"/>
    <n v="2.9"/>
    <n v="25"/>
    <n v="18"/>
    <n v="2"/>
    <n v="3.4"/>
    <s v="No"/>
    <s v="No"/>
    <s v="Campus"/>
    <d v="2024-01-19T00:00:00"/>
    <n v="4.3"/>
    <n v="4.7"/>
    <x v="8"/>
    <n v="1181"/>
  </r>
  <r>
    <x v="181"/>
    <d v="2023-03-18T00:00:00"/>
    <s v="Finance"/>
    <s v="Male"/>
    <n v="44"/>
    <s v="Full-Time"/>
    <s v="Junior"/>
    <s v="Pune"/>
    <n v="21.9"/>
    <n v="107300"/>
    <n v="8700"/>
    <n v="3.3"/>
    <n v="29"/>
    <n v="10"/>
    <n v="2"/>
    <n v="4.3"/>
    <s v="No"/>
    <s v="No"/>
    <s v="Campus"/>
    <d v="2024-10-23T00:00:00"/>
    <n v="2.2000000000000002"/>
    <n v="2"/>
    <x v="6"/>
    <n v="1182"/>
  </r>
  <r>
    <x v="182"/>
    <d v="2024-01-24T00:00:00"/>
    <s v="HR"/>
    <s v="Female"/>
    <n v="54"/>
    <s v="Full-Time"/>
    <s v="Mid-Level"/>
    <s v="Mumbai"/>
    <n v="31.3"/>
    <n v="143100"/>
    <n v="3300"/>
    <n v="4"/>
    <n v="33"/>
    <n v="10"/>
    <n v="17"/>
    <n v="3.6"/>
    <s v="No"/>
    <s v="Yes"/>
    <s v="Campus"/>
    <d v="2026-05-19T00:00:00"/>
    <n v="3.8"/>
    <n v="3.7"/>
    <x v="5"/>
    <n v="1183"/>
  </r>
  <r>
    <x v="183"/>
    <d v="2024-04-26T00:00:00"/>
    <s v="Sales"/>
    <s v="Female"/>
    <n v="30"/>
    <s v="Full-Time"/>
    <s v="Mid-Level"/>
    <s v="Pune"/>
    <n v="9"/>
    <n v="65000"/>
    <n v="7300"/>
    <n v="3.7"/>
    <n v="35"/>
    <n v="12"/>
    <n v="4"/>
    <n v="4.0999999999999996"/>
    <s v="No"/>
    <s v="No"/>
    <s v="LinkedIn"/>
    <d v="2025-10-14T00:00:00"/>
    <n v="3"/>
    <n v="3.1"/>
    <x v="4"/>
    <n v="1184"/>
  </r>
  <r>
    <x v="184"/>
    <d v="2021-07-18T00:00:00"/>
    <s v="Operations"/>
    <s v="Male"/>
    <n v="31"/>
    <s v="Full-Time"/>
    <s v="Senior"/>
    <s v="Hyderabad"/>
    <n v="5.0999999999999996"/>
    <n v="66200"/>
    <n v="7800"/>
    <n v="3.9"/>
    <n v="26"/>
    <n v="12"/>
    <n v="16"/>
    <n v="4.2"/>
    <s v="No"/>
    <s v="No"/>
    <s v="LinkedIn"/>
    <d v="2024-08-18T00:00:00"/>
    <n v="2.9"/>
    <n v="3.5"/>
    <x v="11"/>
    <n v="1185"/>
  </r>
  <r>
    <x v="185"/>
    <d v="2023-11-16T00:00:00"/>
    <s v="Marketing"/>
    <s v="Female"/>
    <n v="32"/>
    <s v="Full-Time"/>
    <s v="Junior"/>
    <s v="Mumbai"/>
    <n v="8.8000000000000007"/>
    <n v="49600"/>
    <n v="5900"/>
    <n v="4"/>
    <n v="30"/>
    <n v="13"/>
    <n v="28"/>
    <n v="4.2"/>
    <s v="No"/>
    <s v="Yes"/>
    <s v="Company Website"/>
    <d v="2026-06-30T00:00:00"/>
    <n v="3.5"/>
    <n v="4.2"/>
    <x v="10"/>
    <n v="1186"/>
  </r>
  <r>
    <x v="186"/>
    <d v="2024-09-28T00:00:00"/>
    <s v="Marketing"/>
    <s v="Male"/>
    <n v="27"/>
    <s v="Full-Time"/>
    <s v="Manager"/>
    <s v="Delhi"/>
    <n v="1.6"/>
    <n v="74100"/>
    <n v="6200"/>
    <n v="1.7"/>
    <n v="5"/>
    <n v="16"/>
    <n v="25"/>
    <n v="3.5"/>
    <s v="No"/>
    <s v="No"/>
    <s v="Company Website"/>
    <d v="2026-02-02T00:00:00"/>
    <n v="4.3"/>
    <n v="4.5999999999999996"/>
    <x v="1"/>
    <n v="1187"/>
  </r>
  <r>
    <x v="187"/>
    <d v="2025-07-21T00:00:00"/>
    <s v="Operations"/>
    <s v="Female"/>
    <n v="32"/>
    <s v="Part-Time"/>
    <s v="Mid-Level"/>
    <s v="Bengaluru"/>
    <n v="6.9"/>
    <n v="54200"/>
    <n v="1400"/>
    <n v="2.7"/>
    <n v="32"/>
    <n v="13"/>
    <n v="11"/>
    <n v="3.2"/>
    <s v="No"/>
    <s v="No"/>
    <s v="Company Website"/>
    <d v="2026-06-30T00:00:00"/>
    <n v="3"/>
    <n v="3.8"/>
    <x v="11"/>
    <n v="1188"/>
  </r>
  <r>
    <x v="188"/>
    <d v="2024-10-25T00:00:00"/>
    <s v="IT"/>
    <s v="Female"/>
    <n v="33"/>
    <s v="Part-Time"/>
    <s v="Mid-Level"/>
    <s v="Chennai"/>
    <n v="11.8"/>
    <n v="78300"/>
    <n v="7600"/>
    <n v="3"/>
    <n v="6"/>
    <n v="7"/>
    <n v="29"/>
    <n v="2.9"/>
    <s v="No"/>
    <s v="No"/>
    <s v="LinkedIn"/>
    <d v="2025-10-12T00:00:00"/>
    <n v="4.4000000000000004"/>
    <n v="4.7"/>
    <x v="9"/>
    <n v="1189"/>
  </r>
  <r>
    <x v="189"/>
    <d v="2024-02-16T00:00:00"/>
    <s v="IT"/>
    <s v="Male"/>
    <n v="41"/>
    <s v="Full-Time"/>
    <s v="Junior"/>
    <s v="Hyderabad"/>
    <n v="17.3"/>
    <n v="92000"/>
    <n v="5600"/>
    <n v="3.7"/>
    <n v="22"/>
    <n v="16"/>
    <n v="1"/>
    <n v="3.8"/>
    <s v="No"/>
    <s v="No"/>
    <s v="Job Portal"/>
    <d v="2026-06-30T00:00:00"/>
    <n v="4.4000000000000004"/>
    <n v="4.8"/>
    <x v="3"/>
    <n v="1190"/>
  </r>
  <r>
    <x v="190"/>
    <d v="2024-06-28T00:00:00"/>
    <s v="HR"/>
    <s v="Female"/>
    <n v="54"/>
    <s v="Contract"/>
    <s v="Junior"/>
    <s v="Delhi"/>
    <n v="27.5"/>
    <n v="128900"/>
    <n v="3900"/>
    <n v="4.2"/>
    <n v="14"/>
    <n v="13"/>
    <n v="16"/>
    <n v="2.7"/>
    <s v="Yes"/>
    <s v="Yes"/>
    <s v="Employee Referral"/>
    <d v="2025-05-23T00:00:00"/>
    <n v="3.3"/>
    <n v="3.7"/>
    <x v="8"/>
    <n v="1191"/>
  </r>
  <r>
    <x v="191"/>
    <d v="2021-10-06T00:00:00"/>
    <s v="Operations"/>
    <s v="Female"/>
    <n v="57"/>
    <s v="Full-Time"/>
    <s v="Mid-Level"/>
    <s v="Delhi"/>
    <n v="28.7"/>
    <n v="140800"/>
    <n v="9400"/>
    <n v="3.9"/>
    <n v="31"/>
    <n v="20"/>
    <n v="19"/>
    <n v="4.4000000000000004"/>
    <s v="No"/>
    <s v="No"/>
    <s v="Employee Referral"/>
    <d v="2022-07-05T00:00:00"/>
    <n v="3"/>
    <n v="3.3"/>
    <x v="9"/>
    <n v="1192"/>
  </r>
  <r>
    <x v="192"/>
    <d v="2021-06-30T00:00:00"/>
    <s v="Finance"/>
    <s v="Female"/>
    <n v="46"/>
    <s v="Contract"/>
    <s v="Senior"/>
    <s v="Pune"/>
    <n v="20.9"/>
    <n v="117000"/>
    <n v="12700"/>
    <n v="3"/>
    <n v="17"/>
    <n v="13"/>
    <n v="25"/>
    <n v="3.5"/>
    <s v="No"/>
    <s v="No"/>
    <s v="Campus"/>
    <d v="2025-07-12T00:00:00"/>
    <n v="2.9"/>
    <n v="3.3"/>
    <x v="8"/>
    <n v="1193"/>
  </r>
  <r>
    <x v="193"/>
    <d v="2024-01-15T00:00:00"/>
    <s v="Finance"/>
    <s v="Female"/>
    <n v="27"/>
    <s v="Full-Time"/>
    <s v="Mid-Level"/>
    <s v="Hyderabad"/>
    <n v="1.4"/>
    <n v="34700"/>
    <n v="3600"/>
    <n v="4.3"/>
    <n v="5"/>
    <n v="12"/>
    <n v="12"/>
    <n v="3.2"/>
    <s v="No"/>
    <s v="No"/>
    <s v="Employee Referral"/>
    <d v="2025-03-17T00:00:00"/>
    <n v="2.4"/>
    <n v="2.7"/>
    <x v="5"/>
    <n v="1194"/>
  </r>
  <r>
    <x v="194"/>
    <d v="2024-04-17T00:00:00"/>
    <s v="HR"/>
    <s v="Female"/>
    <n v="31"/>
    <s v="Full-Time"/>
    <s v="Mid-Level"/>
    <s v="Chennai"/>
    <n v="10.8"/>
    <n v="75800"/>
    <n v="8900"/>
    <n v="4"/>
    <n v="11"/>
    <n v="13"/>
    <n v="19"/>
    <n v="1.2"/>
    <s v="No"/>
    <s v="Yes"/>
    <s v="Job Portal"/>
    <d v="2026-06-30T00:00:00"/>
    <n v="4.3"/>
    <n v="5"/>
    <x v="4"/>
    <n v="1195"/>
  </r>
  <r>
    <x v="195"/>
    <d v="2025-02-20T00:00:00"/>
    <s v="Marketing"/>
    <s v="Male"/>
    <n v="35"/>
    <s v="Contract"/>
    <s v="Mid-Level"/>
    <s v="Mumbai"/>
    <n v="12"/>
    <n v="77900"/>
    <n v="6800"/>
    <n v="4.4000000000000004"/>
    <n v="21"/>
    <n v="7"/>
    <n v="1"/>
    <n v="2.7"/>
    <s v="No"/>
    <s v="Yes"/>
    <s v="Campus"/>
    <d v="2026-04-26T00:00:00"/>
    <n v="3.8"/>
    <n v="4"/>
    <x v="3"/>
    <n v="1196"/>
  </r>
  <r>
    <x v="196"/>
    <d v="2025-03-13T00:00:00"/>
    <s v="Finance"/>
    <s v="Female"/>
    <n v="45"/>
    <s v="Full-Time"/>
    <s v="Mid-Level"/>
    <s v="Chennai"/>
    <n v="24.5"/>
    <n v="138800"/>
    <n v="13800"/>
    <n v="2.8"/>
    <n v="18"/>
    <n v="9"/>
    <n v="3"/>
    <n v="2.9"/>
    <s v="No"/>
    <s v="No"/>
    <s v="LinkedIn"/>
    <d v="2026-06-30T00:00:00"/>
    <n v="2.6"/>
    <n v="3.2"/>
    <x v="6"/>
    <n v="1197"/>
  </r>
  <r>
    <x v="197"/>
    <d v="2021-02-27T00:00:00"/>
    <s v="IT"/>
    <s v="Male"/>
    <n v="43"/>
    <s v="Full-Time"/>
    <s v="Senior"/>
    <s v="Mumbai"/>
    <n v="24.6"/>
    <n v="128800"/>
    <n v="7100"/>
    <n v="4.2"/>
    <n v="19"/>
    <n v="13"/>
    <n v="23"/>
    <n v="3.9"/>
    <s v="No"/>
    <s v="Yes"/>
    <s v="Company Website"/>
    <d v="2022-01-01T00:00:00"/>
    <n v="2.4"/>
    <n v="2.8"/>
    <x v="3"/>
    <n v="1198"/>
  </r>
  <r>
    <x v="198"/>
    <d v="2023-12-16T00:00:00"/>
    <s v="Sales"/>
    <s v="Female"/>
    <n v="55"/>
    <s v="Full-Time"/>
    <s v="Junior"/>
    <s v="Chennai"/>
    <n v="35"/>
    <n v="149100"/>
    <n v="3800"/>
    <n v="3.7"/>
    <n v="30"/>
    <n v="16"/>
    <n v="5"/>
    <n v="2.7"/>
    <s v="No"/>
    <s v="No"/>
    <s v="Job Portal"/>
    <d v="2026-06-16T00:00:00"/>
    <n v="3.6"/>
    <n v="3.5"/>
    <x v="7"/>
    <n v="1199"/>
  </r>
  <r>
    <x v="199"/>
    <d v="2023-08-19T00:00:00"/>
    <s v="Operations"/>
    <s v="Female"/>
    <n v="39"/>
    <s v="Full-Time"/>
    <s v="Mid-Level"/>
    <s v="Chennai"/>
    <n v="18.2"/>
    <n v="107000"/>
    <n v="2500"/>
    <n v="3.6"/>
    <n v="26"/>
    <n v="11"/>
    <n v="29"/>
    <n v="3.5"/>
    <s v="No"/>
    <s v="No"/>
    <s v="Employee Referral"/>
    <d v="2026-06-30T00:00:00"/>
    <n v="4.2"/>
    <n v="4.2"/>
    <x v="2"/>
    <n v="1200"/>
  </r>
  <r>
    <x v="200"/>
    <d v="2023-08-12T00:00:00"/>
    <s v="Operations"/>
    <s v="Female"/>
    <n v="28"/>
    <s v="Full-Time"/>
    <s v="Mid-Level"/>
    <s v="Mumbai"/>
    <n v="5.4"/>
    <n v="52100"/>
    <n v="3600"/>
    <n v="4.4000000000000004"/>
    <n v="7"/>
    <n v="8"/>
    <n v="28"/>
    <n v="3.5"/>
    <s v="No"/>
    <s v="Yes"/>
    <s v="Campus"/>
    <d v="2024-05-25T00:00:00"/>
    <n v="3.9"/>
    <n v="4.5"/>
    <x v="2"/>
    <n v="1201"/>
  </r>
  <r>
    <x v="201"/>
    <d v="2023-12-19T00:00:00"/>
    <s v="Finance"/>
    <s v="Male"/>
    <n v="46"/>
    <s v="Full-Time"/>
    <s v="Manager"/>
    <s v="Chennai"/>
    <n v="22"/>
    <n v="145500"/>
    <n v="5100"/>
    <n v="3.2"/>
    <n v="35"/>
    <n v="6"/>
    <n v="15"/>
    <n v="3.1"/>
    <s v="No"/>
    <s v="No"/>
    <s v="Campus"/>
    <d v="2026-06-30T00:00:00"/>
    <n v="3.8"/>
    <n v="4.0999999999999996"/>
    <x v="7"/>
    <n v="1202"/>
  </r>
  <r>
    <x v="202"/>
    <d v="2025-11-27T00:00:00"/>
    <s v="Sales"/>
    <s v="Female"/>
    <n v="58"/>
    <s v="Part-Time"/>
    <s v="Senior"/>
    <s v="Delhi"/>
    <n v="33"/>
    <n v="152800"/>
    <n v="11400"/>
    <n v="3.1"/>
    <n v="34"/>
    <n v="9"/>
    <n v="11"/>
    <n v="3.6"/>
    <s v="No"/>
    <s v="No"/>
    <s v="Employee Referral"/>
    <d v="2026-06-30T00:00:00"/>
    <n v="3.8"/>
    <n v="4.5999999999999996"/>
    <x v="10"/>
    <n v="1203"/>
  </r>
  <r>
    <x v="203"/>
    <d v="2024-04-20T00:00:00"/>
    <s v="IT"/>
    <s v="Female"/>
    <n v="50"/>
    <s v="Contract"/>
    <s v="Mid-Level"/>
    <s v="Mumbai"/>
    <n v="26.6"/>
    <n v="138000"/>
    <n v="9100"/>
    <n v="3.8"/>
    <n v="9"/>
    <n v="13"/>
    <n v="13"/>
    <n v="3.9"/>
    <s v="No"/>
    <s v="No"/>
    <s v="Job Portal"/>
    <d v="2026-03-05T00:00:00"/>
    <n v="2.1"/>
    <n v="3"/>
    <x v="4"/>
    <n v="1204"/>
  </r>
  <r>
    <x v="204"/>
    <d v="2024-10-18T00:00:00"/>
    <s v="Operations"/>
    <s v="Male"/>
    <n v="54"/>
    <s v="Full-Time"/>
    <s v="Junior"/>
    <s v="Chennai"/>
    <n v="28.2"/>
    <n v="123400"/>
    <n v="6300"/>
    <n v="1.8"/>
    <n v="12"/>
    <n v="8"/>
    <n v="29"/>
    <n v="2.7"/>
    <s v="Yes"/>
    <s v="No"/>
    <s v="Campus"/>
    <d v="2026-04-15T00:00:00"/>
    <n v="3.2"/>
    <n v="3.1"/>
    <x v="9"/>
    <n v="1205"/>
  </r>
  <r>
    <x v="205"/>
    <d v="2023-11-23T00:00:00"/>
    <s v="Sales"/>
    <s v="Female"/>
    <n v="54"/>
    <s v="Part-Time"/>
    <s v="Junior"/>
    <s v="Hyderabad"/>
    <n v="30.8"/>
    <n v="131300"/>
    <n v="11500"/>
    <n v="3.9"/>
    <n v="10"/>
    <n v="10"/>
    <n v="8"/>
    <n v="4.4000000000000004"/>
    <s v="No"/>
    <s v="No"/>
    <s v="Employee Referral"/>
    <d v="2025-03-30T00:00:00"/>
    <n v="3.3"/>
    <n v="4.0999999999999996"/>
    <x v="10"/>
    <n v="1206"/>
  </r>
  <r>
    <x v="206"/>
    <d v="2023-08-26T00:00:00"/>
    <s v="Marketing"/>
    <s v="Female"/>
    <n v="59"/>
    <s v="Contract"/>
    <s v="Junior"/>
    <s v="Bengaluru"/>
    <n v="35"/>
    <n v="160600"/>
    <n v="8300"/>
    <n v="4.4000000000000004"/>
    <n v="40"/>
    <n v="12"/>
    <n v="3"/>
    <n v="4.7"/>
    <s v="No"/>
    <s v="Yes"/>
    <s v="Employee Referral"/>
    <d v="2026-05-13T00:00:00"/>
    <n v="3.4"/>
    <n v="3.8"/>
    <x v="2"/>
    <n v="1207"/>
  </r>
  <r>
    <x v="207"/>
    <d v="2025-05-19T00:00:00"/>
    <s v="Sales"/>
    <s v="Male"/>
    <n v="57"/>
    <s v="Full-Time"/>
    <s v="Junior"/>
    <s v="Delhi"/>
    <n v="33.299999999999997"/>
    <n v="142100"/>
    <n v="13500"/>
    <n v="4.7"/>
    <n v="33"/>
    <n v="8"/>
    <n v="9"/>
    <n v="3.2"/>
    <s v="No"/>
    <s v="Yes"/>
    <s v="Campus"/>
    <d v="2026-06-30T00:00:00"/>
    <n v="2.4"/>
    <n v="2.6"/>
    <x v="0"/>
    <n v="1208"/>
  </r>
  <r>
    <x v="208"/>
    <d v="2025-05-04T00:00:00"/>
    <s v="Marketing"/>
    <s v="Female"/>
    <n v="60"/>
    <s v="Full-Time"/>
    <s v="Mid-Level"/>
    <s v="Delhi"/>
    <n v="32.700000000000003"/>
    <n v="141000"/>
    <n v="12200"/>
    <n v="2.4"/>
    <n v="7"/>
    <n v="11"/>
    <n v="25"/>
    <n v="3.7"/>
    <s v="No"/>
    <s v="No"/>
    <s v="Campus"/>
    <d v="2026-06-30T00:00:00"/>
    <n v="3.3"/>
    <n v="3.5"/>
    <x v="0"/>
    <n v="1209"/>
  </r>
  <r>
    <x v="209"/>
    <d v="2025-09-25T00:00:00"/>
    <s v="Sales"/>
    <s v="Female"/>
    <n v="31"/>
    <s v="Full-Time"/>
    <s v="Junior"/>
    <s v="Pune"/>
    <n v="11.2"/>
    <n v="62000"/>
    <n v="5500"/>
    <n v="3.4"/>
    <n v="8"/>
    <n v="13"/>
    <n v="8"/>
    <n v="3.3"/>
    <s v="No"/>
    <s v="No"/>
    <s v="Employee Referral"/>
    <d v="2026-06-30T00:00:00"/>
    <n v="3.8"/>
    <n v="4.4000000000000004"/>
    <x v="1"/>
    <n v="1210"/>
  </r>
  <r>
    <x v="210"/>
    <d v="2024-04-30T00:00:00"/>
    <s v="IT"/>
    <s v="Female"/>
    <n v="25"/>
    <s v="Full-Time"/>
    <s v="Senior"/>
    <s v="Delhi"/>
    <n v="3.2"/>
    <n v="61400"/>
    <n v="1400"/>
    <n v="4.0999999999999996"/>
    <n v="31"/>
    <n v="15"/>
    <n v="29"/>
    <n v="4.3"/>
    <s v="Yes"/>
    <s v="Yes"/>
    <s v="Company Website"/>
    <d v="2025-03-23T00:00:00"/>
    <n v="1.9"/>
    <n v="1.8"/>
    <x v="4"/>
    <n v="1211"/>
  </r>
  <r>
    <x v="211"/>
    <d v="2021-04-01T00:00:00"/>
    <s v="Sales"/>
    <s v="Female"/>
    <n v="48"/>
    <s v="Contract"/>
    <s v="Junior"/>
    <s v="Bengaluru"/>
    <n v="23.7"/>
    <n v="114000"/>
    <n v="2300"/>
    <n v="2.5"/>
    <n v="18"/>
    <n v="8"/>
    <n v="27"/>
    <n v="3.4"/>
    <s v="No"/>
    <s v="No"/>
    <s v="LinkedIn"/>
    <d v="2023-01-19T00:00:00"/>
    <n v="3.1"/>
    <n v="3.2"/>
    <x v="4"/>
    <n v="1212"/>
  </r>
  <r>
    <x v="212"/>
    <d v="2024-11-15T00:00:00"/>
    <s v="Operations"/>
    <s v="Male"/>
    <n v="38"/>
    <s v="Full-Time"/>
    <s v="Senior"/>
    <s v="Delhi"/>
    <n v="12.7"/>
    <n v="96000"/>
    <n v="11200"/>
    <n v="3.8"/>
    <n v="36"/>
    <n v="5"/>
    <n v="2"/>
    <n v="2.4"/>
    <s v="No"/>
    <s v="No"/>
    <s v="Job Portal"/>
    <d v="2026-06-30T00:00:00"/>
    <n v="4"/>
    <n v="3.8"/>
    <x v="10"/>
    <n v="1213"/>
  </r>
  <r>
    <x v="213"/>
    <d v="2025-11-28T00:00:00"/>
    <s v="Finance"/>
    <s v="Male"/>
    <n v="41"/>
    <s v="Contract"/>
    <s v="Mid-Level"/>
    <s v="Bengaluru"/>
    <n v="13.7"/>
    <n v="84200"/>
    <n v="4600"/>
    <n v="3.5"/>
    <n v="35"/>
    <n v="16"/>
    <n v="22"/>
    <n v="2.7"/>
    <s v="No"/>
    <s v="No"/>
    <s v="Job Portal"/>
    <d v="2026-06-30T00:00:00"/>
    <n v="3.5"/>
    <n v="3.6"/>
    <x v="10"/>
    <n v="1214"/>
  </r>
  <r>
    <x v="214"/>
    <d v="2023-10-14T00:00:00"/>
    <s v="IT"/>
    <s v="Female"/>
    <n v="46"/>
    <s v="Full-Time"/>
    <s v="Mid-Level"/>
    <s v="Bengaluru"/>
    <n v="25.5"/>
    <n v="128400"/>
    <n v="8500"/>
    <n v="4.5999999999999996"/>
    <n v="21"/>
    <n v="15"/>
    <n v="24"/>
    <n v="3.1"/>
    <s v="No"/>
    <s v="Yes"/>
    <s v="Employee Referral"/>
    <d v="2025-12-02T00:00:00"/>
    <n v="3.9"/>
    <n v="4.2"/>
    <x v="9"/>
    <n v="1215"/>
  </r>
  <r>
    <x v="215"/>
    <d v="2021-02-26T00:00:00"/>
    <s v="IT"/>
    <s v="Female"/>
    <n v="47"/>
    <s v="Full-Time"/>
    <s v="Senior"/>
    <s v="Mumbai"/>
    <n v="23.3"/>
    <n v="125600"/>
    <n v="3300"/>
    <n v="2.6"/>
    <n v="37"/>
    <n v="10"/>
    <n v="27"/>
    <n v="3.5"/>
    <s v="No"/>
    <s v="No"/>
    <s v="LinkedIn"/>
    <d v="2023-08-18T00:00:00"/>
    <n v="3.1"/>
    <n v="3.9"/>
    <x v="3"/>
    <n v="1216"/>
  </r>
  <r>
    <x v="216"/>
    <d v="2021-11-29T00:00:00"/>
    <s v="Sales"/>
    <s v="Female"/>
    <n v="22"/>
    <s v="Full-Time"/>
    <s v="Mid-Level"/>
    <s v="Pune"/>
    <n v="0"/>
    <n v="38400"/>
    <n v="900"/>
    <n v="3.6"/>
    <n v="5"/>
    <n v="10"/>
    <n v="24"/>
    <n v="5"/>
    <s v="Yes"/>
    <s v="No"/>
    <s v="Campus"/>
    <d v="2024-04-30T00:00:00"/>
    <n v="3.2"/>
    <n v="3.2"/>
    <x v="10"/>
    <n v="1217"/>
  </r>
  <r>
    <x v="217"/>
    <d v="2021-04-10T00:00:00"/>
    <s v="HR"/>
    <s v="Male"/>
    <n v="57"/>
    <s v="Contract"/>
    <s v="Manager"/>
    <s v="Mumbai"/>
    <n v="32.700000000000003"/>
    <n v="173900"/>
    <n v="20800"/>
    <n v="4.0999999999999996"/>
    <n v="38"/>
    <n v="16"/>
    <n v="9"/>
    <n v="4.0999999999999996"/>
    <s v="No"/>
    <s v="Yes"/>
    <s v="LinkedIn"/>
    <d v="2025-01-21T00:00:00"/>
    <n v="2.2999999999999998"/>
    <n v="2.7"/>
    <x v="4"/>
    <n v="1218"/>
  </r>
  <r>
    <x v="218"/>
    <d v="2022-03-13T00:00:00"/>
    <s v="Finance"/>
    <s v="Female"/>
    <n v="45"/>
    <s v="Full-Time"/>
    <s v="Junior"/>
    <s v="Hyderabad"/>
    <n v="26.4"/>
    <n v="105400"/>
    <n v="11200"/>
    <n v="3.2"/>
    <n v="37"/>
    <n v="13"/>
    <n v="7"/>
    <n v="4.3"/>
    <s v="No"/>
    <s v="No"/>
    <s v="LinkedIn"/>
    <d v="2025-10-13T00:00:00"/>
    <n v="4.0999999999999996"/>
    <n v="4.3"/>
    <x v="6"/>
    <n v="1219"/>
  </r>
  <r>
    <x v="219"/>
    <d v="2025-02-24T00:00:00"/>
    <s v="Marketing"/>
    <s v="Female"/>
    <n v="35"/>
    <s v="Full-Time"/>
    <s v="Mid-Level"/>
    <s v="Pune"/>
    <n v="12"/>
    <n v="78600"/>
    <n v="5900"/>
    <n v="4"/>
    <n v="36"/>
    <n v="18"/>
    <n v="1"/>
    <n v="3.7"/>
    <s v="No"/>
    <s v="Yes"/>
    <s v="Campus"/>
    <d v="2025-11-07T00:00:00"/>
    <n v="3.8"/>
    <n v="4.3"/>
    <x v="3"/>
    <n v="1220"/>
  </r>
  <r>
    <x v="220"/>
    <d v="2024-09-13T00:00:00"/>
    <s v="Marketing"/>
    <s v="Male"/>
    <n v="22"/>
    <s v="Full-Time"/>
    <s v="Mid-Level"/>
    <s v="Pune"/>
    <n v="0"/>
    <n v="27800"/>
    <n v="2500"/>
    <n v="3.1"/>
    <n v="39"/>
    <n v="2"/>
    <n v="17"/>
    <n v="3.1"/>
    <s v="Yes"/>
    <s v="No"/>
    <s v="Company Website"/>
    <d v="2026-06-30T00:00:00"/>
    <n v="3.6"/>
    <n v="3.9"/>
    <x v="1"/>
    <n v="1221"/>
  </r>
  <r>
    <x v="221"/>
    <d v="2024-09-26T00:00:00"/>
    <s v="Operations"/>
    <s v="Female"/>
    <n v="24"/>
    <s v="Full-Time"/>
    <s v="Mid-Level"/>
    <s v="Pune"/>
    <n v="1.7"/>
    <n v="52400"/>
    <n v="3400"/>
    <n v="2.7"/>
    <n v="30"/>
    <n v="14"/>
    <n v="26"/>
    <n v="4.9000000000000004"/>
    <s v="No"/>
    <s v="No"/>
    <s v="Employee Referral"/>
    <d v="2026-06-06T00:00:00"/>
    <n v="2.6"/>
    <n v="3"/>
    <x v="1"/>
    <n v="1222"/>
  </r>
  <r>
    <x v="222"/>
    <d v="2023-01-13T00:00:00"/>
    <s v="Operations"/>
    <s v="Male"/>
    <n v="34"/>
    <s v="Full-Time"/>
    <s v="Senior"/>
    <s v="Mumbai"/>
    <n v="6.9"/>
    <n v="72500"/>
    <n v="6500"/>
    <n v="4.5"/>
    <n v="35"/>
    <n v="12"/>
    <n v="14"/>
    <n v="3.2"/>
    <s v="No"/>
    <s v="Yes"/>
    <s v="Company Website"/>
    <d v="2026-01-01T00:00:00"/>
    <n v="4.4000000000000004"/>
    <n v="4.7"/>
    <x v="5"/>
    <n v="1223"/>
  </r>
  <r>
    <x v="223"/>
    <d v="2022-12-27T00:00:00"/>
    <s v="Finance"/>
    <s v="Female"/>
    <n v="44"/>
    <s v="Part-Time"/>
    <s v="Junior"/>
    <s v="Mumbai"/>
    <n v="23.8"/>
    <n v="124700"/>
    <n v="7900"/>
    <n v="3.8"/>
    <n v="22"/>
    <n v="11"/>
    <n v="13"/>
    <n v="3"/>
    <s v="No"/>
    <s v="No"/>
    <s v="LinkedIn"/>
    <d v="2026-06-30T00:00:00"/>
    <n v="3.9"/>
    <n v="4.5999999999999996"/>
    <x v="7"/>
    <n v="1224"/>
  </r>
  <r>
    <x v="224"/>
    <d v="2022-06-30T00:00:00"/>
    <s v="Sales"/>
    <s v="Female"/>
    <n v="25"/>
    <s v="Full-Time"/>
    <s v="Junior"/>
    <s v="Hyderabad"/>
    <n v="6"/>
    <n v="49300"/>
    <n v="2900"/>
    <n v="2.6"/>
    <n v="30"/>
    <n v="10"/>
    <n v="27"/>
    <n v="3.5"/>
    <s v="Yes"/>
    <s v="No"/>
    <s v="Job Portal"/>
    <d v="2023-06-20T00:00:00"/>
    <n v="3.9"/>
    <n v="4.5"/>
    <x v="8"/>
    <n v="1225"/>
  </r>
  <r>
    <x v="225"/>
    <d v="2024-10-14T00:00:00"/>
    <s v="Sales"/>
    <s v="Female"/>
    <n v="32"/>
    <s v="Full-Time"/>
    <s v="Mid-Level"/>
    <s v="Mumbai"/>
    <n v="6.6"/>
    <n v="52200"/>
    <n v="1700"/>
    <n v="3"/>
    <n v="11"/>
    <n v="10"/>
    <n v="26"/>
    <n v="3.3"/>
    <s v="Yes"/>
    <s v="No"/>
    <s v="Employee Referral"/>
    <d v="2026-06-30T00:00:00"/>
    <n v="4.5999999999999996"/>
    <n v="5"/>
    <x v="9"/>
    <n v="1226"/>
  </r>
  <r>
    <x v="226"/>
    <d v="2023-04-01T00:00:00"/>
    <s v="Finance"/>
    <s v="Female"/>
    <n v="22"/>
    <s v="Full-Time"/>
    <s v="Senior"/>
    <s v="Hyderabad"/>
    <n v="6.1"/>
    <n v="66200"/>
    <n v="2500"/>
    <n v="3.1"/>
    <n v="35"/>
    <n v="15"/>
    <n v="21"/>
    <n v="3.7"/>
    <s v="No"/>
    <s v="No"/>
    <s v="Company Website"/>
    <d v="2024-11-06T00:00:00"/>
    <n v="4.7"/>
    <n v="4.9000000000000004"/>
    <x v="4"/>
    <n v="1227"/>
  </r>
  <r>
    <x v="227"/>
    <d v="2025-04-12T00:00:00"/>
    <s v="IT"/>
    <s v="Male"/>
    <n v="59"/>
    <s v="Full-Time"/>
    <s v="Mid-Level"/>
    <s v="Chennai"/>
    <n v="32.799999999999997"/>
    <n v="157200"/>
    <n v="9900"/>
    <n v="4.5"/>
    <n v="26"/>
    <n v="17"/>
    <n v="20"/>
    <n v="5"/>
    <s v="No"/>
    <s v="Yes"/>
    <s v="Employee Referral"/>
    <d v="2026-06-30T00:00:00"/>
    <n v="2.9"/>
    <n v="3.6"/>
    <x v="4"/>
    <n v="1228"/>
  </r>
  <r>
    <x v="228"/>
    <d v="2022-05-16T00:00:00"/>
    <s v="Marketing"/>
    <s v="Female"/>
    <n v="39"/>
    <s v="Full-Time"/>
    <s v="Senior"/>
    <s v="Hyderabad"/>
    <n v="18.5"/>
    <n v="113800"/>
    <n v="5700"/>
    <n v="4.5999999999999996"/>
    <n v="39"/>
    <n v="11"/>
    <n v="24"/>
    <n v="3"/>
    <s v="No"/>
    <s v="Yes"/>
    <s v="Employee Referral"/>
    <d v="2025-10-19T00:00:00"/>
    <n v="3.1"/>
    <n v="3.4"/>
    <x v="0"/>
    <n v="1229"/>
  </r>
  <r>
    <x v="229"/>
    <d v="2023-08-05T00:00:00"/>
    <s v="IT"/>
    <s v="Male"/>
    <n v="31"/>
    <s v="Full-Time"/>
    <s v="Junior"/>
    <s v="Delhi"/>
    <n v="5.8"/>
    <n v="52300"/>
    <n v="4800"/>
    <n v="4.5999999999999996"/>
    <n v="36"/>
    <n v="15"/>
    <n v="0"/>
    <n v="4.2"/>
    <s v="No"/>
    <s v="Yes"/>
    <s v="Company Website"/>
    <d v="2026-06-30T00:00:00"/>
    <n v="3"/>
    <n v="3.3"/>
    <x v="2"/>
    <n v="1230"/>
  </r>
  <r>
    <x v="230"/>
    <d v="2023-11-03T00:00:00"/>
    <s v="Operations"/>
    <s v="Male"/>
    <n v="22"/>
    <s v="Full-Time"/>
    <s v="Mid-Level"/>
    <s v="Hyderabad"/>
    <n v="0"/>
    <n v="27600"/>
    <n v="1800"/>
    <n v="4"/>
    <n v="7"/>
    <n v="9"/>
    <n v="27"/>
    <n v="4"/>
    <s v="Yes"/>
    <s v="No"/>
    <s v="Campus"/>
    <d v="2024-09-21T00:00:00"/>
    <n v="2.2000000000000002"/>
    <n v="3"/>
    <x v="10"/>
    <n v="1231"/>
  </r>
  <r>
    <x v="231"/>
    <d v="2021-01-31T00:00:00"/>
    <s v="IT"/>
    <s v="Male"/>
    <n v="38"/>
    <s v="Full-Time"/>
    <s v="Junior"/>
    <s v="Pune"/>
    <n v="18.5"/>
    <n v="92400"/>
    <n v="10700"/>
    <n v="3.6"/>
    <n v="11"/>
    <n v="10"/>
    <n v="29"/>
    <n v="3"/>
    <s v="No"/>
    <s v="No"/>
    <s v="Campus"/>
    <d v="2023-05-10T00:00:00"/>
    <n v="3.2"/>
    <n v="3.8"/>
    <x v="5"/>
    <n v="1232"/>
  </r>
  <r>
    <x v="232"/>
    <d v="2022-07-28T00:00:00"/>
    <s v="Operations"/>
    <s v="Male"/>
    <n v="21"/>
    <s v="Part-Time"/>
    <s v="Mid-Level"/>
    <s v="Chennai"/>
    <n v="0"/>
    <n v="37100"/>
    <n v="2900"/>
    <n v="4.0999999999999996"/>
    <n v="9"/>
    <n v="14"/>
    <n v="2"/>
    <n v="3.7"/>
    <s v="No"/>
    <s v="No"/>
    <s v="Campus"/>
    <d v="2023-12-04T00:00:00"/>
    <n v="2.6"/>
    <n v="3.1"/>
    <x v="11"/>
    <n v="1233"/>
  </r>
  <r>
    <x v="233"/>
    <d v="2023-06-05T00:00:00"/>
    <s v="Operations"/>
    <s v="Male"/>
    <n v="29"/>
    <s v="Full-Time"/>
    <s v="Manager"/>
    <s v="Delhi"/>
    <n v="8.6999999999999993"/>
    <n v="93600"/>
    <n v="4900"/>
    <n v="4.4000000000000004"/>
    <n v="9"/>
    <n v="9"/>
    <n v="10"/>
    <n v="4.5"/>
    <s v="No"/>
    <s v="Yes"/>
    <s v="LinkedIn"/>
    <d v="2024-09-10T00:00:00"/>
    <n v="4.2"/>
    <n v="4.8"/>
    <x v="8"/>
    <n v="1234"/>
  </r>
  <r>
    <x v="234"/>
    <d v="2023-08-02T00:00:00"/>
    <s v="HR"/>
    <s v="Male"/>
    <n v="49"/>
    <s v="Part-Time"/>
    <s v="Mid-Level"/>
    <s v="Delhi"/>
    <n v="21.7"/>
    <n v="107400"/>
    <n v="11300"/>
    <n v="3.2"/>
    <n v="13"/>
    <n v="13"/>
    <n v="7"/>
    <n v="4.2"/>
    <s v="No"/>
    <s v="No"/>
    <s v="Campus"/>
    <d v="2026-06-30T00:00:00"/>
    <n v="4"/>
    <n v="4.4000000000000004"/>
    <x v="2"/>
    <n v="1235"/>
  </r>
  <r>
    <x v="235"/>
    <d v="2024-12-08T00:00:00"/>
    <s v="HR"/>
    <s v="Male"/>
    <n v="57"/>
    <s v="Full-Time"/>
    <s v="Junior"/>
    <s v="Delhi"/>
    <n v="32.200000000000003"/>
    <n v="143500"/>
    <n v="6200"/>
    <n v="2.2000000000000002"/>
    <n v="8"/>
    <n v="5"/>
    <n v="17"/>
    <n v="3.5"/>
    <s v="No"/>
    <s v="No"/>
    <s v="Campus"/>
    <d v="2026-06-30T00:00:00"/>
    <n v="3.4"/>
    <n v="3.5"/>
    <x v="7"/>
    <n v="1236"/>
  </r>
  <r>
    <x v="236"/>
    <d v="2025-05-27T00:00:00"/>
    <s v="IT"/>
    <s v="Female"/>
    <n v="47"/>
    <s v="Full-Time"/>
    <s v="Junior"/>
    <s v="Bengaluru"/>
    <n v="23.9"/>
    <n v="115400"/>
    <n v="11500"/>
    <n v="3.3"/>
    <n v="14"/>
    <n v="18"/>
    <n v="3"/>
    <n v="2.8"/>
    <s v="No"/>
    <s v="No"/>
    <s v="Job Portal"/>
    <d v="2026-06-30T00:00:00"/>
    <n v="2.2999999999999998"/>
    <n v="2.4"/>
    <x v="0"/>
    <n v="1237"/>
  </r>
  <r>
    <x v="237"/>
    <d v="2022-01-13T00:00:00"/>
    <s v="Finance"/>
    <s v="Female"/>
    <n v="37"/>
    <s v="Contract"/>
    <s v="Junior"/>
    <s v="Mumbai"/>
    <n v="16.100000000000001"/>
    <n v="93600"/>
    <n v="8100"/>
    <n v="3.9"/>
    <n v="27"/>
    <n v="14"/>
    <n v="0"/>
    <n v="2.9"/>
    <s v="No"/>
    <s v="No"/>
    <s v="Campus"/>
    <d v="2023-09-01T00:00:00"/>
    <n v="3.3"/>
    <n v="4"/>
    <x v="5"/>
    <n v="1238"/>
  </r>
  <r>
    <x v="238"/>
    <d v="2024-01-17T00:00:00"/>
    <s v="HR"/>
    <s v="Male"/>
    <n v="38"/>
    <s v="Full-Time"/>
    <s v="Senior"/>
    <s v="Delhi"/>
    <n v="16.2"/>
    <n v="114600"/>
    <n v="12800"/>
    <n v="2.7"/>
    <n v="7"/>
    <n v="15"/>
    <n v="17"/>
    <n v="3.9"/>
    <s v="No"/>
    <s v="No"/>
    <s v="Company Website"/>
    <d v="2026-06-27T00:00:00"/>
    <n v="4.2"/>
    <n v="4.5"/>
    <x v="5"/>
    <n v="1239"/>
  </r>
  <r>
    <x v="239"/>
    <d v="2025-08-29T00:00:00"/>
    <s v="Operations"/>
    <s v="Female"/>
    <n v="36"/>
    <s v="Full-Time"/>
    <s v="Senior"/>
    <s v="Chennai"/>
    <n v="16.7"/>
    <n v="110800"/>
    <n v="13000"/>
    <n v="4"/>
    <n v="5"/>
    <n v="14"/>
    <n v="7"/>
    <n v="4.3"/>
    <s v="No"/>
    <s v="Yes"/>
    <s v="Company Website"/>
    <d v="2026-06-30T00:00:00"/>
    <n v="2.8"/>
    <n v="3"/>
    <x v="2"/>
    <n v="1240"/>
  </r>
  <r>
    <x v="240"/>
    <d v="2024-03-30T00:00:00"/>
    <s v="IT"/>
    <s v="Male"/>
    <n v="52"/>
    <s v="Full-Time"/>
    <s v="Junior"/>
    <s v="Delhi"/>
    <n v="26.3"/>
    <n v="113500"/>
    <n v="7600"/>
    <n v="3.9"/>
    <n v="25"/>
    <n v="9"/>
    <n v="5"/>
    <n v="3.9"/>
    <s v="No"/>
    <s v="No"/>
    <s v="Job Portal"/>
    <d v="2026-06-30T00:00:00"/>
    <n v="2.7"/>
    <n v="3"/>
    <x v="6"/>
    <n v="1241"/>
  </r>
  <r>
    <x v="241"/>
    <d v="2021-02-08T00:00:00"/>
    <s v="Finance"/>
    <s v="Female"/>
    <n v="55"/>
    <s v="Full-Time"/>
    <s v="Mid-Level"/>
    <s v="Pune"/>
    <n v="34.700000000000003"/>
    <n v="162500"/>
    <n v="14000"/>
    <n v="4.5"/>
    <n v="19"/>
    <n v="7"/>
    <n v="25"/>
    <n v="3.4"/>
    <s v="No"/>
    <s v="Yes"/>
    <s v="Company Website"/>
    <d v="2022-09-07T00:00:00"/>
    <n v="3.3"/>
    <n v="3.9"/>
    <x v="3"/>
    <n v="1242"/>
  </r>
  <r>
    <x v="242"/>
    <d v="2025-02-06T00:00:00"/>
    <s v="Finance"/>
    <s v="Male"/>
    <n v="46"/>
    <s v="Full-Time"/>
    <s v="Senior"/>
    <s v="Pune"/>
    <n v="24.7"/>
    <n v="136100"/>
    <n v="5400"/>
    <n v="4.5"/>
    <n v="40"/>
    <n v="6"/>
    <n v="19"/>
    <n v="3.3"/>
    <s v="Yes"/>
    <s v="Yes"/>
    <s v="Job Portal"/>
    <d v="2026-06-30T00:00:00"/>
    <n v="3.2"/>
    <n v="3.8"/>
    <x v="3"/>
    <n v="1243"/>
  </r>
  <r>
    <x v="243"/>
    <d v="2024-08-23T00:00:00"/>
    <s v="Finance"/>
    <s v="Female"/>
    <n v="52"/>
    <s v="Full-Time"/>
    <s v="Senior"/>
    <s v="Pune"/>
    <n v="29.2"/>
    <n v="144600"/>
    <n v="16800"/>
    <n v="3.1"/>
    <n v="13"/>
    <n v="2"/>
    <n v="5"/>
    <n v="3.9"/>
    <s v="No"/>
    <s v="No"/>
    <s v="Company Website"/>
    <d v="2025-10-25T00:00:00"/>
    <n v="4.0999999999999996"/>
    <n v="4.5"/>
    <x v="2"/>
    <n v="1244"/>
  </r>
  <r>
    <x v="244"/>
    <d v="2023-01-10T00:00:00"/>
    <s v="Finance"/>
    <s v="Male"/>
    <n v="48"/>
    <s v="Contract"/>
    <s v="Manager"/>
    <s v="Bengaluru"/>
    <n v="20.3"/>
    <n v="129500"/>
    <n v="12200"/>
    <n v="4.2"/>
    <n v="10"/>
    <n v="13"/>
    <n v="21"/>
    <n v="3.7"/>
    <s v="No"/>
    <s v="Yes"/>
    <s v="Campus"/>
    <d v="2024-05-18T00:00:00"/>
    <n v="3.4"/>
    <n v="3.8"/>
    <x v="5"/>
    <n v="1245"/>
  </r>
  <r>
    <x v="245"/>
    <d v="2025-10-17T00:00:00"/>
    <s v="Finance"/>
    <s v="Female"/>
    <n v="58"/>
    <s v="Full-Time"/>
    <s v="Mid-Level"/>
    <s v="Delhi"/>
    <n v="34"/>
    <n v="160900"/>
    <n v="14600"/>
    <n v="3.4"/>
    <n v="11"/>
    <n v="7"/>
    <n v="6"/>
    <n v="3.3"/>
    <s v="No"/>
    <s v="No"/>
    <s v="Company Website"/>
    <d v="2026-06-30T00:00:00"/>
    <n v="2.9"/>
    <n v="2.9"/>
    <x v="9"/>
    <n v="1246"/>
  </r>
  <r>
    <x v="246"/>
    <d v="2022-02-19T00:00:00"/>
    <s v="Marketing"/>
    <s v="Female"/>
    <n v="43"/>
    <s v="Full-Time"/>
    <s v="Mid-Level"/>
    <s v="Hyderabad"/>
    <n v="20.3"/>
    <n v="96500"/>
    <n v="3300"/>
    <n v="3.2"/>
    <n v="19"/>
    <n v="11"/>
    <n v="3"/>
    <n v="3.5"/>
    <s v="No"/>
    <s v="No"/>
    <s v="LinkedIn"/>
    <d v="2023-06-04T00:00:00"/>
    <n v="3.7"/>
    <n v="4"/>
    <x v="3"/>
    <n v="1247"/>
  </r>
  <r>
    <x v="247"/>
    <d v="2022-08-30T00:00:00"/>
    <s v="HR"/>
    <s v="Female"/>
    <n v="34"/>
    <s v="Contract"/>
    <s v="Mid-Level"/>
    <s v="Pune"/>
    <n v="8.8000000000000007"/>
    <n v="88600"/>
    <n v="7500"/>
    <n v="4.5999999999999996"/>
    <n v="23"/>
    <n v="14"/>
    <n v="19"/>
    <n v="4.2"/>
    <s v="Yes"/>
    <s v="Yes"/>
    <s v="Job Portal"/>
    <d v="2024-05-04T00:00:00"/>
    <n v="3.1"/>
    <n v="3.7"/>
    <x v="2"/>
    <n v="1248"/>
  </r>
  <r>
    <x v="248"/>
    <d v="2022-02-21T00:00:00"/>
    <s v="Marketing"/>
    <s v="Male"/>
    <n v="44"/>
    <s v="Full-Time"/>
    <s v="Mid-Level"/>
    <s v="Pune"/>
    <n v="19.100000000000001"/>
    <n v="110900"/>
    <n v="11100"/>
    <n v="3.7"/>
    <n v="22"/>
    <n v="16"/>
    <n v="17"/>
    <n v="2.9"/>
    <s v="No"/>
    <s v="No"/>
    <s v="Employee Referral"/>
    <d v="2025-03-05T00:00:00"/>
    <n v="3.3"/>
    <n v="3.5"/>
    <x v="3"/>
    <n v="1249"/>
  </r>
  <r>
    <x v="249"/>
    <d v="2021-01-25T00:00:00"/>
    <s v="Operations"/>
    <s v="Female"/>
    <n v="33"/>
    <s v="Contract"/>
    <s v="Senior"/>
    <s v="Delhi"/>
    <n v="9.1999999999999993"/>
    <n v="73800"/>
    <n v="7400"/>
    <n v="3.9"/>
    <n v="25"/>
    <n v="9"/>
    <n v="26"/>
    <n v="4.7"/>
    <s v="No"/>
    <s v="No"/>
    <s v="LinkedIn"/>
    <d v="2022-04-21T00:00:00"/>
    <n v="3.5"/>
    <n v="3.6"/>
    <x v="5"/>
    <n v="1250"/>
  </r>
  <r>
    <x v="250"/>
    <d v="2023-10-18T00:00:00"/>
    <s v="Marketing"/>
    <s v="Male"/>
    <n v="26"/>
    <s v="Full-Time"/>
    <s v="Mid-Level"/>
    <s v="Hyderabad"/>
    <n v="2.6"/>
    <n v="59800"/>
    <n v="6400"/>
    <n v="3.8"/>
    <n v="6"/>
    <n v="11"/>
    <n v="5"/>
    <n v="2.7"/>
    <s v="No"/>
    <s v="No"/>
    <s v="Company Website"/>
    <d v="2026-06-30T00:00:00"/>
    <n v="4.2"/>
    <n v="4.5999999999999996"/>
    <x v="9"/>
    <n v="1251"/>
  </r>
  <r>
    <x v="251"/>
    <d v="2023-09-09T00:00:00"/>
    <s v="Operations"/>
    <s v="Female"/>
    <n v="25"/>
    <s v="Contract"/>
    <s v="Junior"/>
    <s v="Pune"/>
    <n v="0"/>
    <n v="28600"/>
    <n v="1900"/>
    <n v="2.4"/>
    <n v="20"/>
    <n v="16"/>
    <n v="20"/>
    <n v="5"/>
    <s v="No"/>
    <s v="No"/>
    <s v="Employee Referral"/>
    <d v="2026-06-30T00:00:00"/>
    <n v="3.8"/>
    <n v="3.8"/>
    <x v="1"/>
    <n v="1252"/>
  </r>
  <r>
    <x v="252"/>
    <d v="2024-11-29T00:00:00"/>
    <s v="Finance"/>
    <s v="Male"/>
    <n v="48"/>
    <s v="Full-Time"/>
    <s v="Junior"/>
    <s v="Hyderabad"/>
    <n v="28.9"/>
    <n v="130900"/>
    <n v="11000"/>
    <n v="3.4"/>
    <n v="11"/>
    <n v="12"/>
    <n v="20"/>
    <n v="2.6"/>
    <s v="No"/>
    <s v="No"/>
    <s v="Campus"/>
    <d v="2025-10-07T00:00:00"/>
    <n v="2.8"/>
    <n v="3.2"/>
    <x v="10"/>
    <n v="1253"/>
  </r>
  <r>
    <x v="253"/>
    <d v="2023-05-04T00:00:00"/>
    <s v="Sales"/>
    <s v="Male"/>
    <n v="23"/>
    <s v="Full-Time"/>
    <s v="Mid-Level"/>
    <s v="Delhi"/>
    <n v="0"/>
    <n v="42600"/>
    <n v="3600"/>
    <n v="3"/>
    <n v="8"/>
    <n v="8"/>
    <n v="6"/>
    <n v="3.9"/>
    <s v="Yes"/>
    <s v="No"/>
    <s v="LinkedIn"/>
    <d v="2026-04-24T00:00:00"/>
    <n v="3.7"/>
    <n v="4"/>
    <x v="0"/>
    <n v="1254"/>
  </r>
  <r>
    <x v="254"/>
    <d v="2021-05-07T00:00:00"/>
    <s v="Operations"/>
    <s v="Male"/>
    <n v="23"/>
    <s v="Full-Time"/>
    <s v="Senior"/>
    <s v="Hyderabad"/>
    <n v="4.4000000000000004"/>
    <n v="60500"/>
    <n v="4500"/>
    <n v="3.9"/>
    <n v="20"/>
    <n v="13"/>
    <n v="23"/>
    <n v="4.2"/>
    <s v="No"/>
    <s v="No"/>
    <s v="Company Website"/>
    <d v="2023-08-29T00:00:00"/>
    <n v="4"/>
    <n v="4.3"/>
    <x v="0"/>
    <n v="1255"/>
  </r>
  <r>
    <x v="255"/>
    <d v="2021-06-30T00:00:00"/>
    <s v="Marketing"/>
    <s v="Female"/>
    <n v="36"/>
    <s v="Contract"/>
    <s v="Junior"/>
    <s v="Hyderabad"/>
    <n v="10.199999999999999"/>
    <n v="80100"/>
    <n v="8000"/>
    <n v="3.4"/>
    <n v="36"/>
    <n v="9"/>
    <n v="2"/>
    <n v="4.8"/>
    <s v="No"/>
    <s v="No"/>
    <s v="LinkedIn"/>
    <d v="2022-07-21T00:00:00"/>
    <n v="3.9"/>
    <n v="4.0999999999999996"/>
    <x v="8"/>
    <n v="1256"/>
  </r>
  <r>
    <x v="256"/>
    <d v="2021-01-18T00:00:00"/>
    <s v="HR"/>
    <s v="Male"/>
    <n v="40"/>
    <s v="Full-Time"/>
    <s v="Senior"/>
    <s v="Delhi"/>
    <n v="18.5"/>
    <n v="100700"/>
    <n v="6300"/>
    <n v="4.2"/>
    <n v="22"/>
    <n v="13"/>
    <n v="10"/>
    <n v="4.4000000000000004"/>
    <s v="Yes"/>
    <s v="Yes"/>
    <s v="Employee Referral"/>
    <d v="2024-08-14T00:00:00"/>
    <n v="3"/>
    <n v="3.6"/>
    <x v="5"/>
    <n v="1257"/>
  </r>
  <r>
    <x v="257"/>
    <d v="2022-07-24T00:00:00"/>
    <s v="IT"/>
    <s v="Male"/>
    <n v="39"/>
    <s v="Full-Time"/>
    <s v="Mid-Level"/>
    <s v="Pune"/>
    <n v="14.3"/>
    <n v="88900"/>
    <n v="7500"/>
    <n v="2.7"/>
    <n v="28"/>
    <n v="14"/>
    <n v="12"/>
    <n v="4.5999999999999996"/>
    <s v="No"/>
    <s v="No"/>
    <s v="LinkedIn"/>
    <d v="2025-02-14T00:00:00"/>
    <n v="3.6"/>
    <n v="3.9"/>
    <x v="11"/>
    <n v="1258"/>
  </r>
  <r>
    <x v="258"/>
    <d v="2022-11-02T00:00:00"/>
    <s v="Finance"/>
    <s v="Female"/>
    <n v="21"/>
    <s v="Full-Time"/>
    <s v="Manager"/>
    <s v="Pune"/>
    <n v="0"/>
    <n v="76400"/>
    <n v="6000"/>
    <n v="3.9"/>
    <n v="9"/>
    <n v="8"/>
    <n v="23"/>
    <n v="2.6"/>
    <s v="No"/>
    <s v="No"/>
    <s v="Employee Referral"/>
    <d v="2024-05-07T00:00:00"/>
    <n v="3.5"/>
    <n v="3.9"/>
    <x v="10"/>
    <n v="1259"/>
  </r>
  <r>
    <x v="259"/>
    <d v="2021-10-13T00:00:00"/>
    <s v="HR"/>
    <s v="Female"/>
    <n v="27"/>
    <s v="Full-Time"/>
    <s v="Senior"/>
    <s v="Pune"/>
    <n v="1.1000000000000001"/>
    <n v="51900"/>
    <n v="1500"/>
    <n v="4.5"/>
    <n v="28"/>
    <n v="8"/>
    <n v="8"/>
    <n v="3.3"/>
    <s v="Yes"/>
    <s v="No"/>
    <s v="LinkedIn"/>
    <d v="2023-08-21T00:00:00"/>
    <n v="4"/>
    <n v="4.5999999999999996"/>
    <x v="9"/>
    <n v="1260"/>
  </r>
  <r>
    <x v="260"/>
    <d v="2024-10-26T00:00:00"/>
    <s v="Finance"/>
    <s v="Male"/>
    <n v="21"/>
    <s v="Full-Time"/>
    <s v="Senior"/>
    <s v="Pune"/>
    <n v="0"/>
    <n v="48800"/>
    <n v="1200"/>
    <n v="4.0999999999999996"/>
    <n v="22"/>
    <n v="2"/>
    <n v="12"/>
    <n v="3.2"/>
    <s v="No"/>
    <s v="No"/>
    <s v="LinkedIn"/>
    <d v="2026-06-30T00:00:00"/>
    <n v="2.6"/>
    <n v="3.2"/>
    <x v="9"/>
    <n v="1261"/>
  </r>
  <r>
    <x v="261"/>
    <d v="2024-08-04T00:00:00"/>
    <s v="Operations"/>
    <s v="Male"/>
    <n v="53"/>
    <s v="Full-Time"/>
    <s v="Mid-Level"/>
    <s v="Mumbai"/>
    <n v="30"/>
    <n v="152900"/>
    <n v="13500"/>
    <n v="3.9"/>
    <n v="10"/>
    <n v="8"/>
    <n v="12"/>
    <n v="4"/>
    <s v="No"/>
    <s v="No"/>
    <s v="Employee Referral"/>
    <d v="2026-06-30T00:00:00"/>
    <n v="3.7"/>
    <n v="4.0999999999999996"/>
    <x v="2"/>
    <n v="1262"/>
  </r>
  <r>
    <x v="262"/>
    <d v="2022-12-02T00:00:00"/>
    <s v="Sales"/>
    <s v="Female"/>
    <n v="32"/>
    <s v="Full-Time"/>
    <s v="Senior"/>
    <s v="Pune"/>
    <n v="6.1"/>
    <n v="75900"/>
    <n v="3100"/>
    <n v="3.7"/>
    <n v="5"/>
    <n v="12"/>
    <n v="19"/>
    <n v="3.3"/>
    <s v="No"/>
    <s v="No"/>
    <s v="Job Portal"/>
    <d v="2024-09-03T00:00:00"/>
    <n v="3.8"/>
    <n v="4.3"/>
    <x v="7"/>
    <n v="1263"/>
  </r>
  <r>
    <x v="263"/>
    <d v="2024-02-15T00:00:00"/>
    <s v="Operations"/>
    <s v="Female"/>
    <n v="29"/>
    <s v="Full-Time"/>
    <s v="Junior"/>
    <s v="Pune"/>
    <n v="9.1"/>
    <n v="50400"/>
    <n v="2200"/>
    <n v="5"/>
    <n v="10"/>
    <n v="8"/>
    <n v="13"/>
    <n v="4"/>
    <s v="No"/>
    <s v="Yes"/>
    <s v="Campus"/>
    <d v="2026-06-30T00:00:00"/>
    <n v="2.9"/>
    <n v="3.6"/>
    <x v="3"/>
    <n v="1264"/>
  </r>
  <r>
    <x v="264"/>
    <d v="2024-02-10T00:00:00"/>
    <s v="Operations"/>
    <s v="Female"/>
    <n v="53"/>
    <s v="Full-Time"/>
    <s v="Senior"/>
    <s v="Hyderabad"/>
    <n v="32.700000000000003"/>
    <n v="158700"/>
    <n v="11800"/>
    <n v="3.1"/>
    <n v="34"/>
    <n v="11"/>
    <n v="5"/>
    <n v="4"/>
    <s v="No"/>
    <s v="No"/>
    <s v="Job Portal"/>
    <d v="2026-05-15T00:00:00"/>
    <n v="3.6"/>
    <n v="3.5"/>
    <x v="3"/>
    <n v="1265"/>
  </r>
  <r>
    <x v="265"/>
    <d v="2024-06-26T00:00:00"/>
    <s v="Finance"/>
    <s v="Male"/>
    <n v="33"/>
    <s v="Part-Time"/>
    <s v="Manager"/>
    <s v="Bengaluru"/>
    <n v="14.7"/>
    <n v="111800"/>
    <n v="12100"/>
    <n v="4.0999999999999996"/>
    <n v="6"/>
    <n v="5"/>
    <n v="1"/>
    <n v="1.8"/>
    <s v="No"/>
    <s v="Yes"/>
    <s v="Company Website"/>
    <d v="2025-08-13T00:00:00"/>
    <n v="2.7"/>
    <n v="3.3"/>
    <x v="8"/>
    <n v="1266"/>
  </r>
  <r>
    <x v="266"/>
    <d v="2023-12-13T00:00:00"/>
    <s v="Marketing"/>
    <s v="Male"/>
    <n v="57"/>
    <s v="Full-Time"/>
    <s v="Mid-Level"/>
    <s v="Mumbai"/>
    <n v="29"/>
    <n v="135800"/>
    <n v="13900"/>
    <n v="4"/>
    <n v="22"/>
    <n v="12"/>
    <n v="1"/>
    <n v="3.8"/>
    <s v="Yes"/>
    <s v="Yes"/>
    <s v="Employee Referral"/>
    <d v="2025-01-24T00:00:00"/>
    <n v="3.1"/>
    <n v="3.3"/>
    <x v="7"/>
    <n v="1267"/>
  </r>
  <r>
    <x v="267"/>
    <d v="2023-05-03T00:00:00"/>
    <s v="IT"/>
    <s v="Male"/>
    <n v="40"/>
    <s v="Part-Time"/>
    <s v="Mid-Level"/>
    <s v="Bengaluru"/>
    <n v="10.5"/>
    <n v="74300"/>
    <n v="5800"/>
    <n v="3.7"/>
    <n v="18"/>
    <n v="14"/>
    <n v="3"/>
    <n v="3.7"/>
    <s v="No"/>
    <s v="No"/>
    <s v="Job Portal"/>
    <d v="2026-06-30T00:00:00"/>
    <n v="2.6"/>
    <n v="3.1"/>
    <x v="0"/>
    <n v="1268"/>
  </r>
  <r>
    <x v="268"/>
    <d v="2023-12-05T00:00:00"/>
    <s v="HR"/>
    <s v="Female"/>
    <n v="22"/>
    <s v="Full-Time"/>
    <s v="Senior"/>
    <s v="Bengaluru"/>
    <n v="0"/>
    <n v="47900"/>
    <n v="5400"/>
    <n v="3.2"/>
    <n v="27"/>
    <n v="9"/>
    <n v="28"/>
    <n v="3.5"/>
    <s v="No"/>
    <s v="No"/>
    <s v="Employee Referral"/>
    <d v="2025-03-03T00:00:00"/>
    <n v="2.5"/>
    <n v="2.5"/>
    <x v="7"/>
    <n v="1269"/>
  </r>
  <r>
    <x v="269"/>
    <d v="2021-11-15T00:00:00"/>
    <s v="IT"/>
    <s v="Male"/>
    <n v="29"/>
    <s v="Full-Time"/>
    <s v="Junior"/>
    <s v="Hyderabad"/>
    <n v="9.9"/>
    <n v="47900"/>
    <n v="2300"/>
    <n v="4"/>
    <n v="6"/>
    <n v="8"/>
    <n v="26"/>
    <n v="3.4"/>
    <s v="Yes"/>
    <s v="Yes"/>
    <s v="Job Portal"/>
    <d v="2022-11-19T00:00:00"/>
    <n v="4.0999999999999996"/>
    <n v="4"/>
    <x v="10"/>
    <n v="1270"/>
  </r>
  <r>
    <x v="270"/>
    <d v="2022-04-23T00:00:00"/>
    <s v="Sales"/>
    <s v="Female"/>
    <n v="40"/>
    <s v="Contract"/>
    <s v="Senior"/>
    <s v="Bengaluru"/>
    <n v="15.9"/>
    <n v="117400"/>
    <n v="5400"/>
    <n v="4.7"/>
    <n v="18"/>
    <n v="5"/>
    <n v="26"/>
    <n v="3.6"/>
    <s v="No"/>
    <s v="Yes"/>
    <s v="Campus"/>
    <d v="2025-05-25T00:00:00"/>
    <n v="4"/>
    <n v="4.0999999999999996"/>
    <x v="4"/>
    <n v="1271"/>
  </r>
  <r>
    <x v="271"/>
    <d v="2023-08-30T00:00:00"/>
    <s v="Sales"/>
    <s v="Female"/>
    <n v="24"/>
    <s v="Part-Time"/>
    <s v="Senior"/>
    <s v="Delhi"/>
    <n v="0"/>
    <n v="35900"/>
    <n v="1900"/>
    <n v="3.8"/>
    <n v="19"/>
    <n v="6"/>
    <n v="7"/>
    <n v="4.3"/>
    <s v="No"/>
    <s v="No"/>
    <s v="Employee Referral"/>
    <d v="2026-06-30T00:00:00"/>
    <n v="3.2"/>
    <n v="3.6"/>
    <x v="2"/>
    <n v="1272"/>
  </r>
  <r>
    <x v="272"/>
    <d v="2021-04-21T00:00:00"/>
    <s v="Sales"/>
    <s v="Female"/>
    <n v="56"/>
    <s v="Full-Time"/>
    <s v="Junior"/>
    <s v="Chennai"/>
    <n v="28.8"/>
    <n v="122100"/>
    <n v="14200"/>
    <n v="4.0999999999999996"/>
    <n v="24"/>
    <n v="14"/>
    <n v="12"/>
    <n v="3"/>
    <s v="No"/>
    <s v="Yes"/>
    <s v="LinkedIn"/>
    <d v="2024-04-06T00:00:00"/>
    <n v="3.5"/>
    <n v="4.2"/>
    <x v="4"/>
    <n v="1273"/>
  </r>
  <r>
    <x v="273"/>
    <d v="2023-09-25T00:00:00"/>
    <s v="IT"/>
    <s v="Male"/>
    <n v="29"/>
    <s v="Full-Time"/>
    <s v="Mid-Level"/>
    <s v="Pune"/>
    <n v="8.4"/>
    <n v="69100"/>
    <n v="1900"/>
    <n v="2.2999999999999998"/>
    <n v="32"/>
    <n v="2"/>
    <n v="4"/>
    <n v="3"/>
    <s v="No"/>
    <s v="No"/>
    <s v="Company Website"/>
    <d v="2026-06-30T00:00:00"/>
    <n v="3.7"/>
    <n v="3.9"/>
    <x v="1"/>
    <n v="1274"/>
  </r>
  <r>
    <x v="274"/>
    <d v="2022-11-02T00:00:00"/>
    <s v="Sales"/>
    <s v="Female"/>
    <n v="28"/>
    <s v="Full-Time"/>
    <s v="Senior"/>
    <s v="Pune"/>
    <n v="4.5999999999999996"/>
    <n v="65100"/>
    <n v="1800"/>
    <n v="3.8"/>
    <n v="19"/>
    <n v="9"/>
    <n v="12"/>
    <n v="3.9"/>
    <s v="No"/>
    <s v="No"/>
    <s v="Company Website"/>
    <d v="2025-10-05T00:00:00"/>
    <n v="4.0999999999999996"/>
    <n v="4.5"/>
    <x v="10"/>
    <n v="1275"/>
  </r>
  <r>
    <x v="275"/>
    <d v="2022-11-20T00:00:00"/>
    <s v="Marketing"/>
    <s v="Female"/>
    <n v="41"/>
    <s v="Full-Time"/>
    <s v="Junior"/>
    <s v="Chennai"/>
    <n v="15"/>
    <n v="81600"/>
    <n v="7100"/>
    <n v="4.4000000000000004"/>
    <n v="37"/>
    <n v="17"/>
    <n v="16"/>
    <n v="3.5"/>
    <s v="No"/>
    <s v="Yes"/>
    <s v="LinkedIn"/>
    <d v="2024-04-13T00:00:00"/>
    <n v="3.9"/>
    <n v="4.8"/>
    <x v="10"/>
    <n v="1276"/>
  </r>
  <r>
    <x v="276"/>
    <d v="2022-10-28T00:00:00"/>
    <s v="Sales"/>
    <s v="Female"/>
    <n v="32"/>
    <s v="Contract"/>
    <s v="Senior"/>
    <s v="Bengaluru"/>
    <n v="7.8"/>
    <n v="80100"/>
    <n v="7700"/>
    <n v="2.6"/>
    <n v="29"/>
    <n v="7"/>
    <n v="5"/>
    <n v="2.8"/>
    <s v="No"/>
    <s v="No"/>
    <s v="Campus"/>
    <d v="2026-04-16T00:00:00"/>
    <n v="3.7"/>
    <n v="3.8"/>
    <x v="9"/>
    <n v="1277"/>
  </r>
  <r>
    <x v="277"/>
    <d v="2024-06-10T00:00:00"/>
    <s v="HR"/>
    <s v="Male"/>
    <n v="37"/>
    <s v="Contract"/>
    <s v="Senior"/>
    <s v="Bengaluru"/>
    <n v="19.600000000000001"/>
    <n v="128800"/>
    <n v="7200"/>
    <n v="4"/>
    <n v="20"/>
    <n v="16"/>
    <n v="12"/>
    <n v="4.9000000000000004"/>
    <s v="No"/>
    <s v="Yes"/>
    <s v="Job Portal"/>
    <d v="2025-08-11T00:00:00"/>
    <n v="2.2999999999999998"/>
    <n v="2.7"/>
    <x v="8"/>
    <n v="1278"/>
  </r>
  <r>
    <x v="278"/>
    <d v="2024-01-07T00:00:00"/>
    <s v="HR"/>
    <s v="Female"/>
    <n v="27"/>
    <s v="Full-Time"/>
    <s v="Junior"/>
    <s v="Mumbai"/>
    <n v="3.2"/>
    <n v="47400"/>
    <n v="5600"/>
    <n v="3.4"/>
    <n v="26"/>
    <n v="15"/>
    <n v="19"/>
    <n v="3.6"/>
    <s v="No"/>
    <s v="No"/>
    <s v="Company Website"/>
    <d v="2026-06-30T00:00:00"/>
    <n v="3.3"/>
    <n v="4.0999999999999996"/>
    <x v="5"/>
    <n v="1279"/>
  </r>
  <r>
    <x v="279"/>
    <d v="2021-07-26T00:00:00"/>
    <s v="HR"/>
    <s v="Female"/>
    <n v="22"/>
    <s v="Contract"/>
    <s v="Mid-Level"/>
    <s v="Bengaluru"/>
    <n v="2.4"/>
    <n v="49800"/>
    <n v="3000"/>
    <n v="3.3"/>
    <n v="36"/>
    <n v="12"/>
    <n v="8"/>
    <n v="3.2"/>
    <s v="Yes"/>
    <s v="No"/>
    <s v="Campus"/>
    <d v="2022-05-20T00:00:00"/>
    <n v="4.2"/>
    <n v="4.5"/>
    <x v="11"/>
    <n v="1280"/>
  </r>
  <r>
    <x v="280"/>
    <d v="2022-10-13T00:00:00"/>
    <s v="Marketing"/>
    <s v="Female"/>
    <n v="24"/>
    <s v="Full-Time"/>
    <s v="Senior"/>
    <s v="Hyderabad"/>
    <n v="1"/>
    <n v="51300"/>
    <n v="2700"/>
    <n v="4.2"/>
    <n v="24"/>
    <n v="8"/>
    <n v="15"/>
    <n v="4.4000000000000004"/>
    <s v="No"/>
    <s v="No"/>
    <s v="Campus"/>
    <d v="2024-06-11T00:00:00"/>
    <n v="4"/>
    <n v="4.2"/>
    <x v="9"/>
    <n v="1281"/>
  </r>
  <r>
    <x v="281"/>
    <d v="2024-07-07T00:00:00"/>
    <s v="IT"/>
    <s v="Male"/>
    <n v="29"/>
    <s v="Full-Time"/>
    <s v="Mid-Level"/>
    <s v="Hyderabad"/>
    <n v="5.3"/>
    <n v="59500"/>
    <n v="3700"/>
    <n v="3.8"/>
    <n v="11"/>
    <n v="7"/>
    <n v="14"/>
    <n v="2.5"/>
    <s v="No"/>
    <s v="No"/>
    <s v="Company Website"/>
    <d v="2025-06-23T00:00:00"/>
    <n v="3.8"/>
    <n v="4"/>
    <x v="11"/>
    <n v="1282"/>
  </r>
  <r>
    <x v="282"/>
    <d v="2024-04-25T00:00:00"/>
    <s v="Sales"/>
    <s v="Male"/>
    <n v="21"/>
    <s v="Full-Time"/>
    <s v="Senior"/>
    <s v="Chennai"/>
    <n v="0"/>
    <n v="54100"/>
    <n v="6300"/>
    <n v="3.4"/>
    <n v="24"/>
    <n v="11"/>
    <n v="29"/>
    <n v="4.5"/>
    <s v="No"/>
    <s v="No"/>
    <s v="Company Website"/>
    <d v="2026-06-30T00:00:00"/>
    <n v="3.7"/>
    <n v="4.4000000000000004"/>
    <x v="4"/>
    <n v="1283"/>
  </r>
  <r>
    <x v="283"/>
    <d v="2021-03-05T00:00:00"/>
    <s v="IT"/>
    <s v="Male"/>
    <n v="55"/>
    <s v="Full-Time"/>
    <s v="Mid-Level"/>
    <s v="Pune"/>
    <n v="29.1"/>
    <n v="142900"/>
    <n v="5800"/>
    <n v="3.8"/>
    <n v="28"/>
    <n v="13"/>
    <n v="21"/>
    <n v="3.8"/>
    <s v="No"/>
    <s v="No"/>
    <s v="Company Website"/>
    <d v="2023-11-30T00:00:00"/>
    <n v="2.6"/>
    <n v="3.6"/>
    <x v="6"/>
    <n v="1284"/>
  </r>
  <r>
    <x v="284"/>
    <d v="2021-08-06T00:00:00"/>
    <s v="Operations"/>
    <s v="Male"/>
    <n v="56"/>
    <s v="Full-Time"/>
    <s v="Senior"/>
    <s v="Chennai"/>
    <n v="32.1"/>
    <n v="163300"/>
    <n v="16800"/>
    <n v="3.5"/>
    <n v="28"/>
    <n v="20"/>
    <n v="15"/>
    <n v="3.5"/>
    <s v="No"/>
    <s v="No"/>
    <s v="Campus"/>
    <d v="2023-12-17T00:00:00"/>
    <n v="3.1"/>
    <n v="3.7"/>
    <x v="2"/>
    <n v="1285"/>
  </r>
  <r>
    <x v="285"/>
    <d v="2025-04-24T00:00:00"/>
    <s v="Operations"/>
    <s v="Female"/>
    <n v="38"/>
    <s v="Full-Time"/>
    <s v="Mid-Level"/>
    <s v="Chennai"/>
    <n v="10.9"/>
    <n v="77200"/>
    <n v="3900"/>
    <n v="4"/>
    <n v="37"/>
    <n v="11"/>
    <n v="18"/>
    <n v="3.2"/>
    <s v="No"/>
    <s v="Yes"/>
    <s v="Campus"/>
    <d v="2026-06-30T00:00:00"/>
    <n v="3.7"/>
    <n v="3.9"/>
    <x v="4"/>
    <n v="1286"/>
  </r>
  <r>
    <x v="286"/>
    <d v="2022-06-30T00:00:00"/>
    <s v="Sales"/>
    <s v="Female"/>
    <n v="60"/>
    <s v="Full-Time"/>
    <s v="Mid-Level"/>
    <s v="Hyderabad"/>
    <n v="35"/>
    <n v="157000"/>
    <n v="4400"/>
    <n v="3.2"/>
    <n v="28"/>
    <n v="14"/>
    <n v="23"/>
    <n v="4.2"/>
    <s v="Yes"/>
    <s v="No"/>
    <s v="Company Website"/>
    <d v="2024-08-03T00:00:00"/>
    <n v="4.4000000000000004"/>
    <n v="4.9000000000000004"/>
    <x v="8"/>
    <n v="1287"/>
  </r>
  <r>
    <x v="287"/>
    <d v="2023-11-28T00:00:00"/>
    <s v="Finance"/>
    <s v="Male"/>
    <n v="48"/>
    <s v="Contract"/>
    <s v="Senior"/>
    <s v="Chennai"/>
    <n v="26.1"/>
    <n v="136900"/>
    <n v="9800"/>
    <n v="3.2"/>
    <n v="10"/>
    <n v="10"/>
    <n v="7"/>
    <n v="4.4000000000000004"/>
    <s v="No"/>
    <s v="No"/>
    <s v="LinkedIn"/>
    <d v="2025-07-28T00:00:00"/>
    <n v="4"/>
    <n v="4"/>
    <x v="10"/>
    <n v="1288"/>
  </r>
  <r>
    <x v="288"/>
    <d v="2022-07-15T00:00:00"/>
    <s v="Operations"/>
    <s v="Male"/>
    <n v="50"/>
    <s v="Full-Time"/>
    <s v="Mid-Level"/>
    <s v="Pune"/>
    <n v="24.9"/>
    <n v="130200"/>
    <n v="11300"/>
    <n v="3.2"/>
    <n v="6"/>
    <n v="12"/>
    <n v="11"/>
    <n v="3.1"/>
    <s v="No"/>
    <s v="No"/>
    <s v="Job Portal"/>
    <d v="2024-02-25T00:00:00"/>
    <n v="4.0999999999999996"/>
    <n v="4.3"/>
    <x v="11"/>
    <n v="1289"/>
  </r>
  <r>
    <x v="289"/>
    <d v="2024-04-19T00:00:00"/>
    <s v="IT"/>
    <s v="Male"/>
    <n v="56"/>
    <s v="Contract"/>
    <s v="Mid-Level"/>
    <s v="Pune"/>
    <n v="26.8"/>
    <n v="141100"/>
    <n v="9200"/>
    <n v="3.6"/>
    <n v="29"/>
    <n v="14"/>
    <n v="9"/>
    <n v="4.0999999999999996"/>
    <s v="No"/>
    <s v="No"/>
    <s v="LinkedIn"/>
    <d v="2025-09-03T00:00:00"/>
    <n v="3.7"/>
    <n v="4.2"/>
    <x v="4"/>
    <n v="1290"/>
  </r>
  <r>
    <x v="290"/>
    <d v="2023-09-15T00:00:00"/>
    <s v="HR"/>
    <s v="Male"/>
    <n v="26"/>
    <s v="Full-Time"/>
    <s v="Junior"/>
    <s v="Chennai"/>
    <n v="4.5999999999999996"/>
    <n v="47500"/>
    <n v="4000"/>
    <n v="3.6"/>
    <n v="28"/>
    <n v="12"/>
    <n v="15"/>
    <n v="4.5"/>
    <s v="No"/>
    <s v="No"/>
    <s v="Company Website"/>
    <d v="2026-06-09T00:00:00"/>
    <n v="3.2"/>
    <n v="3.7"/>
    <x v="1"/>
    <n v="1291"/>
  </r>
  <r>
    <x v="291"/>
    <d v="2023-06-26T00:00:00"/>
    <s v="Sales"/>
    <s v="Male"/>
    <n v="52"/>
    <s v="Full-Time"/>
    <s v="Junior"/>
    <s v="Hyderabad"/>
    <n v="24.4"/>
    <n v="113700"/>
    <n v="13600"/>
    <n v="3"/>
    <n v="36"/>
    <n v="7"/>
    <n v="7"/>
    <n v="3.3"/>
    <s v="No"/>
    <s v="No"/>
    <s v="LinkedIn"/>
    <d v="2026-06-30T00:00:00"/>
    <n v="2.9"/>
    <n v="3.2"/>
    <x v="8"/>
    <n v="1292"/>
  </r>
  <r>
    <x v="292"/>
    <d v="2022-08-02T00:00:00"/>
    <s v="Operations"/>
    <s v="Male"/>
    <n v="49"/>
    <s v="Part-Time"/>
    <s v="Senior"/>
    <s v="Delhi"/>
    <n v="20.9"/>
    <n v="112600"/>
    <n v="6000"/>
    <n v="3.2"/>
    <n v="18"/>
    <n v="10"/>
    <n v="24"/>
    <n v="3.1"/>
    <s v="No"/>
    <s v="No"/>
    <s v="Employee Referral"/>
    <d v="2025-05-01T00:00:00"/>
    <n v="2.8"/>
    <n v="3.1"/>
    <x v="2"/>
    <n v="1293"/>
  </r>
  <r>
    <x v="293"/>
    <d v="2023-10-15T00:00:00"/>
    <s v="Operations"/>
    <s v="Male"/>
    <n v="44"/>
    <s v="Full-Time"/>
    <s v="Manager"/>
    <s v="Mumbai"/>
    <n v="16.399999999999999"/>
    <n v="116900"/>
    <n v="9300"/>
    <n v="4.2"/>
    <n v="6"/>
    <n v="7"/>
    <n v="5"/>
    <n v="2.8"/>
    <s v="No"/>
    <s v="Yes"/>
    <s v="Employee Referral"/>
    <d v="2026-06-30T00:00:00"/>
    <n v="2.2999999999999998"/>
    <n v="2.8"/>
    <x v="9"/>
    <n v="1294"/>
  </r>
  <r>
    <x v="294"/>
    <d v="2025-12-13T00:00:00"/>
    <s v="HR"/>
    <s v="Male"/>
    <n v="23"/>
    <s v="Part-Time"/>
    <s v="Mid-Level"/>
    <s v="Pune"/>
    <n v="7.2"/>
    <n v="63400"/>
    <n v="7000"/>
    <n v="3.6"/>
    <n v="17"/>
    <n v="7"/>
    <n v="24"/>
    <n v="4.2"/>
    <s v="No"/>
    <s v="No"/>
    <s v="LinkedIn"/>
    <d v="2026-06-30T00:00:00"/>
    <n v="2.7"/>
    <n v="3.1"/>
    <x v="7"/>
    <n v="1295"/>
  </r>
  <r>
    <x v="295"/>
    <d v="2025-10-25T00:00:00"/>
    <s v="HR"/>
    <s v="Female"/>
    <n v="42"/>
    <s v="Full-Time"/>
    <s v="Junior"/>
    <s v="Pune"/>
    <n v="20.6"/>
    <n v="103100"/>
    <n v="9400"/>
    <n v="3"/>
    <n v="13"/>
    <n v="16"/>
    <n v="9"/>
    <n v="3.8"/>
    <s v="No"/>
    <s v="No"/>
    <s v="Job Portal"/>
    <d v="2026-06-30T00:00:00"/>
    <n v="2.8"/>
    <n v="2.8"/>
    <x v="9"/>
    <n v="1296"/>
  </r>
  <r>
    <x v="296"/>
    <d v="2023-06-04T00:00:00"/>
    <s v="Finance"/>
    <s v="Female"/>
    <n v="33"/>
    <s v="Part-Time"/>
    <s v="Mid-Level"/>
    <s v="Pune"/>
    <n v="6.8"/>
    <n v="55100"/>
    <n v="5400"/>
    <n v="3.2"/>
    <n v="13"/>
    <n v="12"/>
    <n v="3"/>
    <n v="2.8"/>
    <s v="Yes"/>
    <s v="No"/>
    <s v="LinkedIn"/>
    <d v="2026-05-09T00:00:00"/>
    <n v="3.5"/>
    <n v="3.9"/>
    <x v="8"/>
    <n v="1297"/>
  </r>
  <r>
    <x v="297"/>
    <d v="2024-11-13T00:00:00"/>
    <s v="Operations"/>
    <s v="Male"/>
    <n v="48"/>
    <s v="Full-Time"/>
    <s v="Manager"/>
    <s v="Hyderabad"/>
    <n v="22.7"/>
    <n v="139700"/>
    <n v="15900"/>
    <n v="4.0999999999999996"/>
    <n v="26"/>
    <n v="14"/>
    <n v="6"/>
    <n v="3.2"/>
    <s v="No"/>
    <s v="Yes"/>
    <s v="Company Website"/>
    <d v="2026-06-30T00:00:00"/>
    <n v="2.5"/>
    <n v="2.6"/>
    <x v="10"/>
    <n v="1298"/>
  </r>
  <r>
    <x v="298"/>
    <d v="2025-09-02T00:00:00"/>
    <s v="Operations"/>
    <s v="Male"/>
    <n v="27"/>
    <s v="Full-Time"/>
    <s v="Senior"/>
    <s v="Pune"/>
    <n v="4.8"/>
    <n v="71200"/>
    <n v="5200"/>
    <n v="3.6"/>
    <n v="18"/>
    <n v="13"/>
    <n v="2"/>
    <n v="3.3"/>
    <s v="Yes"/>
    <s v="No"/>
    <s v="Campus"/>
    <d v="2026-06-30T00:00:00"/>
    <n v="2.8"/>
    <n v="3.3"/>
    <x v="1"/>
    <n v="1299"/>
  </r>
  <r>
    <x v="299"/>
    <d v="2022-05-21T00:00:00"/>
    <s v="HR"/>
    <s v="Female"/>
    <n v="46"/>
    <s v="Full-Time"/>
    <s v="Senior"/>
    <s v="Bengaluru"/>
    <n v="19"/>
    <n v="116700"/>
    <n v="4100"/>
    <n v="4.2"/>
    <n v="17"/>
    <n v="7"/>
    <n v="13"/>
    <n v="4"/>
    <s v="No"/>
    <s v="Yes"/>
    <s v="Employee Referral"/>
    <d v="2024-05-18T00:00:00"/>
    <n v="3.3"/>
    <n v="3.9"/>
    <x v="0"/>
    <n v="13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B8D9E8-CEA8-429C-9EAD-3110960F6A4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0:G43" firstHeaderRow="0" firstDataRow="1" firstDataCol="1"/>
  <pivotFields count="24">
    <pivotField dataField="1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umFmtId="164" showAll="0"/>
    <pivotField showAll="0"/>
    <pivotField showAll="0"/>
    <pivotField numFmtId="1" showAll="0"/>
    <pivotField showAll="0"/>
    <pivotField showAll="0"/>
    <pivotField showAll="0"/>
    <pivotField numFmtId="165" showAll="0"/>
    <pivotField numFmtId="166" showAll="0"/>
    <pivotField numFmtId="166" showAll="0"/>
    <pivotField dataField="1" numFmtId="165" showAll="0"/>
    <pivotField numFmtId="1" showAll="0"/>
    <pivotField numFmtId="1" showAll="0"/>
    <pivotField numFmtId="1" showAll="0"/>
    <pivotField numFmtId="165" showAll="0"/>
    <pivotField showAll="0"/>
    <pivotField showAll="0"/>
    <pivotField showAll="0"/>
    <pivotField numFmtId="164" showAll="0"/>
    <pivotField numFmtId="165" showAll="0"/>
    <pivotField numFmtId="165" showAll="0"/>
    <pivotField axis="axisRow" showAll="0">
      <items count="13">
        <item x="5"/>
        <item x="3"/>
        <item x="6"/>
        <item x="4"/>
        <item x="0"/>
        <item x="8"/>
        <item x="11"/>
        <item x="2"/>
        <item x="1"/>
        <item x="9"/>
        <item x="10"/>
        <item x="7"/>
        <item t="default"/>
      </items>
    </pivotField>
    <pivotField showAll="0"/>
  </pivotFields>
  <rowFields count="1">
    <field x="2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loyee_ID" fld="0" subtotal="count" baseField="0" baseItem="0"/>
    <dataField name="Sum of Performance_Rating" fld="11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HR_Data" displayName="tbl_HR_Data" ref="A1:X301" totalsRowShown="0">
  <autoFilter ref="A1:X301" xr:uid="{00000000-0009-0000-0100-000001000000}"/>
  <tableColumns count="24">
    <tableColumn id="1" xr3:uid="{00000000-0010-0000-0000-000001000000}" name="Employee_ID"/>
    <tableColumn id="2" xr3:uid="{00000000-0010-0000-0000-000002000000}" name="Join_Date"/>
    <tableColumn id="3" xr3:uid="{00000000-0010-0000-0000-000003000000}" name="Department"/>
    <tableColumn id="4" xr3:uid="{00000000-0010-0000-0000-000004000000}" name="Gender"/>
    <tableColumn id="5" xr3:uid="{00000000-0010-0000-0000-000005000000}" name="Age"/>
    <tableColumn id="6" xr3:uid="{00000000-0010-0000-0000-000006000000}" name="Employment_Type"/>
    <tableColumn id="7" xr3:uid="{00000000-0010-0000-0000-000007000000}" name="Job_Level"/>
    <tableColumn id="8" xr3:uid="{00000000-0010-0000-0000-000008000000}" name="Location"/>
    <tableColumn id="9" xr3:uid="{00000000-0010-0000-0000-000009000000}" name="Experience_Years"/>
    <tableColumn id="10" xr3:uid="{00000000-0010-0000-0000-00000A000000}" name="Salary"/>
    <tableColumn id="11" xr3:uid="{00000000-0010-0000-0000-00000B000000}" name="Bonus"/>
    <tableColumn id="12" xr3:uid="{00000000-0010-0000-0000-00000C000000}" name="Performance_Rating"/>
    <tableColumn id="13" xr3:uid="{00000000-0010-0000-0000-00000D000000}" name="Training_Hours"/>
    <tableColumn id="14" xr3:uid="{00000000-0010-0000-0000-00000E000000}" name="Leave_Days"/>
    <tableColumn id="15" xr3:uid="{00000000-0010-0000-0000-00000F000000}" name="Overtime_Hours"/>
    <tableColumn id="16" xr3:uid="{00000000-0010-0000-0000-000010000000}" name="Job_Satisfaction"/>
    <tableColumn id="17" xr3:uid="{00000000-0010-0000-0000-000011000000}" name="Attrition"/>
    <tableColumn id="18" xr3:uid="{00000000-0010-0000-0000-000012000000}" name="Promotion_Eligible"/>
    <tableColumn id="19" xr3:uid="{00000000-0010-0000-0000-000013000000}" name="Recruitment_Source"/>
    <tableColumn id="20" xr3:uid="{00000000-0010-0000-0000-000014000000}" name="Last_Promotion_Date"/>
    <tableColumn id="21" xr3:uid="{00000000-0010-0000-0000-000015000000}" name="Pre_Training_Performance"/>
    <tableColumn id="22" xr3:uid="{00000000-0010-0000-0000-000016000000}" name="Post_Training_Performance"/>
    <tableColumn id="23" xr3:uid="{5C718FFE-D966-4C00-851B-199A367AA020}" name="Join_Month" dataDxfId="1">
      <calculatedColumnFormula>TEXT(B2,"mmmm")</calculatedColumnFormula>
    </tableColumn>
    <tableColumn id="24" xr3:uid="{48CF752F-A5F0-4ECB-BD4B-29E03547D589}" name="Employee_Code_Excel" dataDxfId="0">
      <calculatedColumnFormula>VALUE(RIGHT(A2,LEN(A2)-3))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1"/>
  <sheetViews>
    <sheetView topLeftCell="R1" zoomScale="96" zoomScaleNormal="96" workbookViewId="0">
      <pane ySplit="1" topLeftCell="A279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13" customWidth="1"/>
    <col min="3" max="3" width="14" customWidth="1"/>
    <col min="4" max="4" width="10" customWidth="1"/>
    <col min="5" max="5" width="8" customWidth="1"/>
    <col min="6" max="6" width="16" customWidth="1"/>
    <col min="7" max="7" width="14" customWidth="1"/>
    <col min="8" max="8" width="13" customWidth="1"/>
    <col min="9" max="9" width="17" customWidth="1"/>
    <col min="10" max="10" width="13" customWidth="1"/>
    <col min="11" max="11" width="11" customWidth="1"/>
    <col min="12" max="12" width="18" customWidth="1"/>
    <col min="13" max="13" width="15" customWidth="1"/>
    <col min="14" max="14" width="12" customWidth="1"/>
    <col min="15" max="15" width="15" customWidth="1"/>
    <col min="16" max="16" width="16" customWidth="1"/>
    <col min="17" max="17" width="11" customWidth="1"/>
    <col min="18" max="18" width="18" customWidth="1"/>
    <col min="19" max="20" width="20" customWidth="1"/>
    <col min="21" max="21" width="24" customWidth="1"/>
    <col min="22" max="22" width="25" customWidth="1"/>
    <col min="23" max="23" width="13.5546875" customWidth="1"/>
    <col min="24" max="24" width="25.3320312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3" t="s">
        <v>415</v>
      </c>
      <c r="X1" s="12" t="s">
        <v>416</v>
      </c>
    </row>
    <row r="2" spans="1:24" x14ac:dyDescent="0.3">
      <c r="A2" t="s">
        <v>22</v>
      </c>
      <c r="B2" s="2">
        <v>44682</v>
      </c>
      <c r="C2" t="s">
        <v>23</v>
      </c>
      <c r="D2" t="s">
        <v>24</v>
      </c>
      <c r="E2" s="3">
        <v>52</v>
      </c>
      <c r="F2" t="s">
        <v>25</v>
      </c>
      <c r="G2" t="s">
        <v>26</v>
      </c>
      <c r="H2" t="s">
        <v>27</v>
      </c>
      <c r="I2" s="4">
        <v>26.9</v>
      </c>
      <c r="J2" s="5">
        <v>123100</v>
      </c>
      <c r="K2" s="5">
        <v>8500</v>
      </c>
      <c r="L2" s="4">
        <v>4</v>
      </c>
      <c r="M2" s="3">
        <v>35</v>
      </c>
      <c r="N2" s="3">
        <v>9</v>
      </c>
      <c r="O2" s="3">
        <v>30</v>
      </c>
      <c r="P2" s="4">
        <v>4.7</v>
      </c>
      <c r="Q2" t="s">
        <v>28</v>
      </c>
      <c r="R2" t="s">
        <v>29</v>
      </c>
      <c r="S2" t="s">
        <v>30</v>
      </c>
      <c r="T2" s="2">
        <v>45834</v>
      </c>
      <c r="U2" s="4">
        <v>3.7</v>
      </c>
      <c r="V2" s="4">
        <v>4.2</v>
      </c>
      <c r="W2" t="str">
        <f t="shared" ref="W2:W65" si="0">TEXT(B2,"mmmm")</f>
        <v>May</v>
      </c>
      <c r="X2">
        <f t="shared" ref="X2:X65" si="1">VALUE(RIGHT(A2,LEN(A2)-3))</f>
        <v>1001</v>
      </c>
    </row>
    <row r="3" spans="1:24" x14ac:dyDescent="0.3">
      <c r="A3" t="s">
        <v>31</v>
      </c>
      <c r="B3" s="2">
        <v>44829</v>
      </c>
      <c r="C3" t="s">
        <v>32</v>
      </c>
      <c r="D3" t="s">
        <v>24</v>
      </c>
      <c r="E3" s="3">
        <v>43</v>
      </c>
      <c r="F3" t="s">
        <v>25</v>
      </c>
      <c r="G3" t="s">
        <v>33</v>
      </c>
      <c r="H3" t="s">
        <v>27</v>
      </c>
      <c r="I3" s="4">
        <v>19.2</v>
      </c>
      <c r="J3" s="5">
        <v>102500</v>
      </c>
      <c r="K3" s="5">
        <v>11600</v>
      </c>
      <c r="L3" s="4">
        <v>3</v>
      </c>
      <c r="M3" s="3">
        <v>20</v>
      </c>
      <c r="N3" s="3">
        <v>16</v>
      </c>
      <c r="O3" s="3">
        <v>8</v>
      </c>
      <c r="P3" s="4">
        <v>3.5</v>
      </c>
      <c r="Q3" t="s">
        <v>28</v>
      </c>
      <c r="R3" t="s">
        <v>28</v>
      </c>
      <c r="S3" t="s">
        <v>34</v>
      </c>
      <c r="T3" s="2">
        <v>45919</v>
      </c>
      <c r="U3" s="4">
        <v>2.8</v>
      </c>
      <c r="V3" s="4">
        <v>3</v>
      </c>
      <c r="W3" t="str">
        <f t="shared" si="0"/>
        <v>September</v>
      </c>
      <c r="X3">
        <f t="shared" si="1"/>
        <v>1002</v>
      </c>
    </row>
    <row r="4" spans="1:24" x14ac:dyDescent="0.3">
      <c r="A4" t="s">
        <v>35</v>
      </c>
      <c r="B4" s="2">
        <v>45159</v>
      </c>
      <c r="C4" t="s">
        <v>36</v>
      </c>
      <c r="D4" t="s">
        <v>24</v>
      </c>
      <c r="E4" s="3">
        <v>32</v>
      </c>
      <c r="F4" t="s">
        <v>25</v>
      </c>
      <c r="G4" t="s">
        <v>33</v>
      </c>
      <c r="H4" t="s">
        <v>37</v>
      </c>
      <c r="I4" s="4">
        <v>14.3</v>
      </c>
      <c r="J4" s="5">
        <v>108400</v>
      </c>
      <c r="K4" s="5">
        <v>11600</v>
      </c>
      <c r="L4" s="4">
        <v>4.2</v>
      </c>
      <c r="M4" s="3">
        <v>5</v>
      </c>
      <c r="N4" s="3">
        <v>13</v>
      </c>
      <c r="O4" s="3">
        <v>13</v>
      </c>
      <c r="P4" s="4">
        <v>3.6</v>
      </c>
      <c r="Q4" t="s">
        <v>28</v>
      </c>
      <c r="R4" t="s">
        <v>29</v>
      </c>
      <c r="S4" t="s">
        <v>38</v>
      </c>
      <c r="T4" s="2">
        <v>45793</v>
      </c>
      <c r="U4" s="4">
        <v>3.3</v>
      </c>
      <c r="V4" s="4">
        <v>3.7</v>
      </c>
      <c r="W4" t="str">
        <f t="shared" si="0"/>
        <v>August</v>
      </c>
      <c r="X4">
        <f t="shared" si="1"/>
        <v>1003</v>
      </c>
    </row>
    <row r="5" spans="1:24" x14ac:dyDescent="0.3">
      <c r="A5" t="s">
        <v>39</v>
      </c>
      <c r="B5" s="2">
        <v>44963</v>
      </c>
      <c r="C5" t="s">
        <v>40</v>
      </c>
      <c r="D5" t="s">
        <v>41</v>
      </c>
      <c r="E5" s="3">
        <v>52</v>
      </c>
      <c r="F5" t="s">
        <v>25</v>
      </c>
      <c r="G5" t="s">
        <v>42</v>
      </c>
      <c r="H5" t="s">
        <v>27</v>
      </c>
      <c r="I5" s="4">
        <v>28.6</v>
      </c>
      <c r="J5" s="5">
        <v>170900</v>
      </c>
      <c r="K5" s="5">
        <v>16500</v>
      </c>
      <c r="L5" s="4">
        <v>3.4</v>
      </c>
      <c r="M5" s="3">
        <v>15</v>
      </c>
      <c r="N5" s="3">
        <v>12</v>
      </c>
      <c r="O5" s="3">
        <v>24</v>
      </c>
      <c r="P5" s="4">
        <v>4.9000000000000004</v>
      </c>
      <c r="Q5" t="s">
        <v>28</v>
      </c>
      <c r="R5" t="s">
        <v>28</v>
      </c>
      <c r="S5" t="s">
        <v>43</v>
      </c>
      <c r="T5" s="2">
        <v>45213</v>
      </c>
      <c r="U5" s="4">
        <v>4.0999999999999996</v>
      </c>
      <c r="V5" s="4">
        <v>4.5999999999999996</v>
      </c>
      <c r="W5" t="str">
        <f t="shared" si="0"/>
        <v>February</v>
      </c>
      <c r="X5">
        <f t="shared" si="1"/>
        <v>1004</v>
      </c>
    </row>
    <row r="6" spans="1:24" x14ac:dyDescent="0.3">
      <c r="A6" t="s">
        <v>44</v>
      </c>
      <c r="B6" s="2">
        <v>45389</v>
      </c>
      <c r="C6" t="s">
        <v>40</v>
      </c>
      <c r="D6" t="s">
        <v>41</v>
      </c>
      <c r="E6" s="3">
        <v>22</v>
      </c>
      <c r="F6" t="s">
        <v>25</v>
      </c>
      <c r="G6" t="s">
        <v>26</v>
      </c>
      <c r="H6" t="s">
        <v>37</v>
      </c>
      <c r="I6" s="4">
        <v>1.6</v>
      </c>
      <c r="J6" s="5">
        <v>50300</v>
      </c>
      <c r="K6" s="5">
        <v>5700</v>
      </c>
      <c r="L6" s="4">
        <v>3.3</v>
      </c>
      <c r="M6" s="3">
        <v>20</v>
      </c>
      <c r="N6" s="3">
        <v>15</v>
      </c>
      <c r="O6" s="3">
        <v>8</v>
      </c>
      <c r="P6" s="4">
        <v>4.2</v>
      </c>
      <c r="Q6" t="s">
        <v>28</v>
      </c>
      <c r="R6" t="s">
        <v>28</v>
      </c>
      <c r="S6" t="s">
        <v>38</v>
      </c>
      <c r="T6" s="2">
        <v>46203</v>
      </c>
      <c r="U6" s="4">
        <v>3</v>
      </c>
      <c r="V6" s="4">
        <v>3.1</v>
      </c>
      <c r="W6" t="str">
        <f t="shared" si="0"/>
        <v>April</v>
      </c>
      <c r="X6">
        <f t="shared" si="1"/>
        <v>1005</v>
      </c>
    </row>
    <row r="7" spans="1:24" x14ac:dyDescent="0.3">
      <c r="A7" t="s">
        <v>45</v>
      </c>
      <c r="B7" s="2">
        <v>44678</v>
      </c>
      <c r="C7" t="s">
        <v>40</v>
      </c>
      <c r="D7" t="s">
        <v>24</v>
      </c>
      <c r="E7" s="3">
        <v>41</v>
      </c>
      <c r="F7" t="s">
        <v>25</v>
      </c>
      <c r="G7" t="s">
        <v>33</v>
      </c>
      <c r="H7" t="s">
        <v>46</v>
      </c>
      <c r="I7" s="4">
        <v>19.2</v>
      </c>
      <c r="J7" s="5">
        <v>121800</v>
      </c>
      <c r="K7" s="5">
        <v>7100</v>
      </c>
      <c r="L7" s="4">
        <v>3.3</v>
      </c>
      <c r="M7" s="3">
        <v>26</v>
      </c>
      <c r="N7" s="3">
        <v>17</v>
      </c>
      <c r="O7" s="3">
        <v>27</v>
      </c>
      <c r="P7" s="4">
        <v>3</v>
      </c>
      <c r="Q7" t="s">
        <v>28</v>
      </c>
      <c r="R7" t="s">
        <v>28</v>
      </c>
      <c r="S7" t="s">
        <v>43</v>
      </c>
      <c r="T7" s="2">
        <v>45418</v>
      </c>
      <c r="U7" s="4">
        <v>2.9</v>
      </c>
      <c r="V7" s="4">
        <v>3.6</v>
      </c>
      <c r="W7" t="str">
        <f t="shared" si="0"/>
        <v>April</v>
      </c>
      <c r="X7">
        <f t="shared" si="1"/>
        <v>1006</v>
      </c>
    </row>
    <row r="8" spans="1:24" x14ac:dyDescent="0.3">
      <c r="A8" t="s">
        <v>47</v>
      </c>
      <c r="B8" s="2">
        <v>45307</v>
      </c>
      <c r="C8" t="s">
        <v>48</v>
      </c>
      <c r="D8" t="s">
        <v>41</v>
      </c>
      <c r="E8" s="3">
        <v>32</v>
      </c>
      <c r="F8" t="s">
        <v>25</v>
      </c>
      <c r="G8" t="s">
        <v>26</v>
      </c>
      <c r="H8" t="s">
        <v>46</v>
      </c>
      <c r="I8" s="4">
        <v>3.9</v>
      </c>
      <c r="J8" s="5">
        <v>50600</v>
      </c>
      <c r="K8" s="5">
        <v>1200</v>
      </c>
      <c r="L8" s="4">
        <v>1.7</v>
      </c>
      <c r="M8" s="3">
        <v>12</v>
      </c>
      <c r="N8" s="3">
        <v>11</v>
      </c>
      <c r="O8" s="3">
        <v>2</v>
      </c>
      <c r="P8" s="4">
        <v>5</v>
      </c>
      <c r="Q8" t="s">
        <v>28</v>
      </c>
      <c r="R8" t="s">
        <v>28</v>
      </c>
      <c r="S8" t="s">
        <v>38</v>
      </c>
      <c r="T8" s="2">
        <v>45993</v>
      </c>
      <c r="U8" s="4">
        <v>4.2</v>
      </c>
      <c r="V8" s="4">
        <v>4</v>
      </c>
      <c r="W8" t="str">
        <f t="shared" si="0"/>
        <v>January</v>
      </c>
      <c r="X8">
        <f t="shared" si="1"/>
        <v>1007</v>
      </c>
    </row>
    <row r="9" spans="1:24" x14ac:dyDescent="0.3">
      <c r="A9" t="s">
        <v>49</v>
      </c>
      <c r="B9" s="2">
        <v>45369</v>
      </c>
      <c r="C9" t="s">
        <v>48</v>
      </c>
      <c r="D9" t="s">
        <v>24</v>
      </c>
      <c r="E9" s="3">
        <v>27</v>
      </c>
      <c r="F9" t="s">
        <v>50</v>
      </c>
      <c r="G9" t="s">
        <v>51</v>
      </c>
      <c r="H9" t="s">
        <v>52</v>
      </c>
      <c r="I9" s="4">
        <v>7.6</v>
      </c>
      <c r="J9" s="5">
        <v>52500</v>
      </c>
      <c r="K9" s="5">
        <v>1500</v>
      </c>
      <c r="L9" s="4">
        <v>2.8</v>
      </c>
      <c r="M9" s="3">
        <v>33</v>
      </c>
      <c r="N9" s="3">
        <v>5</v>
      </c>
      <c r="O9" s="3">
        <v>17</v>
      </c>
      <c r="P9" s="4">
        <v>4.0999999999999996</v>
      </c>
      <c r="Q9" t="s">
        <v>28</v>
      </c>
      <c r="R9" t="s">
        <v>28</v>
      </c>
      <c r="S9" t="s">
        <v>43</v>
      </c>
      <c r="T9" s="2">
        <v>46203</v>
      </c>
      <c r="U9" s="4">
        <v>2.7</v>
      </c>
      <c r="V9" s="4">
        <v>2.6</v>
      </c>
      <c r="W9" t="str">
        <f t="shared" si="0"/>
        <v>March</v>
      </c>
      <c r="X9">
        <f t="shared" si="1"/>
        <v>1008</v>
      </c>
    </row>
    <row r="10" spans="1:24" x14ac:dyDescent="0.3">
      <c r="A10" t="s">
        <v>53</v>
      </c>
      <c r="B10" s="2">
        <v>45628</v>
      </c>
      <c r="C10" t="s">
        <v>54</v>
      </c>
      <c r="D10" t="s">
        <v>24</v>
      </c>
      <c r="E10" s="3">
        <v>49</v>
      </c>
      <c r="F10" t="s">
        <v>25</v>
      </c>
      <c r="G10" t="s">
        <v>26</v>
      </c>
      <c r="H10" t="s">
        <v>55</v>
      </c>
      <c r="I10" s="4">
        <v>28.8</v>
      </c>
      <c r="J10" s="5">
        <v>143300</v>
      </c>
      <c r="K10" s="5">
        <v>7900</v>
      </c>
      <c r="L10" s="4">
        <v>4.3</v>
      </c>
      <c r="M10" s="3">
        <v>31</v>
      </c>
      <c r="N10" s="3">
        <v>14</v>
      </c>
      <c r="O10" s="3">
        <v>9</v>
      </c>
      <c r="P10" s="4">
        <v>3.3</v>
      </c>
      <c r="Q10" t="s">
        <v>28</v>
      </c>
      <c r="R10" t="s">
        <v>29</v>
      </c>
      <c r="S10" t="s">
        <v>38</v>
      </c>
      <c r="T10" s="2">
        <v>46203</v>
      </c>
      <c r="U10" s="4">
        <v>2.8</v>
      </c>
      <c r="V10" s="4">
        <v>3.2</v>
      </c>
      <c r="W10" t="str">
        <f t="shared" si="0"/>
        <v>December</v>
      </c>
      <c r="X10">
        <f t="shared" si="1"/>
        <v>1009</v>
      </c>
    </row>
    <row r="11" spans="1:24" x14ac:dyDescent="0.3">
      <c r="A11" t="s">
        <v>56</v>
      </c>
      <c r="B11" s="2">
        <v>44940</v>
      </c>
      <c r="C11" t="s">
        <v>40</v>
      </c>
      <c r="D11" t="s">
        <v>24</v>
      </c>
      <c r="E11" s="3">
        <v>22</v>
      </c>
      <c r="F11" t="s">
        <v>57</v>
      </c>
      <c r="G11" t="s">
        <v>26</v>
      </c>
      <c r="H11" t="s">
        <v>55</v>
      </c>
      <c r="I11" s="4">
        <v>0.3</v>
      </c>
      <c r="J11" s="5">
        <v>32600</v>
      </c>
      <c r="K11" s="5">
        <v>2700</v>
      </c>
      <c r="L11" s="4">
        <v>4.0999999999999996</v>
      </c>
      <c r="M11" s="3">
        <v>8</v>
      </c>
      <c r="N11" s="3">
        <v>10</v>
      </c>
      <c r="O11" s="3">
        <v>4</v>
      </c>
      <c r="P11" s="4">
        <v>4.5</v>
      </c>
      <c r="Q11" t="s">
        <v>28</v>
      </c>
      <c r="R11" t="s">
        <v>28</v>
      </c>
      <c r="S11" t="s">
        <v>38</v>
      </c>
      <c r="T11" s="2">
        <v>45148</v>
      </c>
      <c r="U11" s="4">
        <v>3.1</v>
      </c>
      <c r="V11" s="4">
        <v>3.1</v>
      </c>
      <c r="W11" t="str">
        <f t="shared" si="0"/>
        <v>January</v>
      </c>
      <c r="X11">
        <f t="shared" si="1"/>
        <v>1010</v>
      </c>
    </row>
    <row r="12" spans="1:24" x14ac:dyDescent="0.3">
      <c r="A12" t="s">
        <v>58</v>
      </c>
      <c r="B12" s="2">
        <v>44356</v>
      </c>
      <c r="C12" t="s">
        <v>48</v>
      </c>
      <c r="D12" t="s">
        <v>41</v>
      </c>
      <c r="E12" s="3">
        <v>24</v>
      </c>
      <c r="F12" t="s">
        <v>25</v>
      </c>
      <c r="G12" t="s">
        <v>26</v>
      </c>
      <c r="H12" t="s">
        <v>55</v>
      </c>
      <c r="I12" s="4">
        <v>4.7</v>
      </c>
      <c r="J12" s="5">
        <v>56100</v>
      </c>
      <c r="K12" s="5">
        <v>2000</v>
      </c>
      <c r="L12" s="4">
        <v>3.1</v>
      </c>
      <c r="M12" s="3">
        <v>8</v>
      </c>
      <c r="N12" s="3">
        <v>9</v>
      </c>
      <c r="O12" s="3">
        <v>18</v>
      </c>
      <c r="P12" s="4">
        <v>3.6</v>
      </c>
      <c r="Q12" t="s">
        <v>29</v>
      </c>
      <c r="R12" t="s">
        <v>28</v>
      </c>
      <c r="S12" t="s">
        <v>43</v>
      </c>
      <c r="T12" s="2">
        <v>45263</v>
      </c>
      <c r="U12" s="4">
        <v>3.1</v>
      </c>
      <c r="V12" s="4">
        <v>3.3</v>
      </c>
      <c r="W12" t="str">
        <f t="shared" si="0"/>
        <v>June</v>
      </c>
      <c r="X12">
        <f t="shared" si="1"/>
        <v>1011</v>
      </c>
    </row>
    <row r="13" spans="1:24" x14ac:dyDescent="0.3">
      <c r="A13" t="s">
        <v>59</v>
      </c>
      <c r="B13" s="2">
        <v>44853</v>
      </c>
      <c r="C13" t="s">
        <v>48</v>
      </c>
      <c r="D13" t="s">
        <v>41</v>
      </c>
      <c r="E13" s="3">
        <v>56</v>
      </c>
      <c r="F13" t="s">
        <v>25</v>
      </c>
      <c r="G13" t="s">
        <v>33</v>
      </c>
      <c r="H13" t="s">
        <v>52</v>
      </c>
      <c r="I13" s="4">
        <v>27.5</v>
      </c>
      <c r="J13" s="5">
        <v>134700</v>
      </c>
      <c r="K13" s="5">
        <v>11000</v>
      </c>
      <c r="L13" s="4">
        <v>3</v>
      </c>
      <c r="M13" s="3">
        <v>11</v>
      </c>
      <c r="N13" s="3">
        <v>7</v>
      </c>
      <c r="O13" s="3">
        <v>3</v>
      </c>
      <c r="P13" s="4">
        <v>4</v>
      </c>
      <c r="Q13" t="s">
        <v>28</v>
      </c>
      <c r="R13" t="s">
        <v>28</v>
      </c>
      <c r="S13" t="s">
        <v>60</v>
      </c>
      <c r="T13" s="2">
        <v>45992</v>
      </c>
      <c r="U13" s="4">
        <v>4</v>
      </c>
      <c r="V13" s="4">
        <v>4.4000000000000004</v>
      </c>
      <c r="W13" t="str">
        <f t="shared" si="0"/>
        <v>October</v>
      </c>
      <c r="X13">
        <f t="shared" si="1"/>
        <v>1012</v>
      </c>
    </row>
    <row r="14" spans="1:24" x14ac:dyDescent="0.3">
      <c r="A14" t="s">
        <v>61</v>
      </c>
      <c r="B14" s="2">
        <v>45660</v>
      </c>
      <c r="C14" t="s">
        <v>32</v>
      </c>
      <c r="D14" t="s">
        <v>24</v>
      </c>
      <c r="E14" s="3">
        <v>28</v>
      </c>
      <c r="F14" t="s">
        <v>25</v>
      </c>
      <c r="G14" t="s">
        <v>42</v>
      </c>
      <c r="H14" t="s">
        <v>27</v>
      </c>
      <c r="I14" s="4">
        <v>1.8</v>
      </c>
      <c r="J14" s="5">
        <v>65600</v>
      </c>
      <c r="K14" s="5">
        <v>6800</v>
      </c>
      <c r="L14" s="4">
        <v>4.5999999999999996</v>
      </c>
      <c r="M14" s="3">
        <v>14</v>
      </c>
      <c r="N14" s="3">
        <v>16</v>
      </c>
      <c r="O14" s="3">
        <v>3</v>
      </c>
      <c r="P14" s="4">
        <v>4</v>
      </c>
      <c r="Q14" t="s">
        <v>28</v>
      </c>
      <c r="R14" t="s">
        <v>28</v>
      </c>
      <c r="S14" t="s">
        <v>60</v>
      </c>
      <c r="T14" s="2">
        <v>46203</v>
      </c>
      <c r="U14" s="4">
        <v>3.4</v>
      </c>
      <c r="V14" s="4">
        <v>4</v>
      </c>
      <c r="W14" t="str">
        <f t="shared" si="0"/>
        <v>January</v>
      </c>
      <c r="X14">
        <f t="shared" si="1"/>
        <v>1013</v>
      </c>
    </row>
    <row r="15" spans="1:24" x14ac:dyDescent="0.3">
      <c r="A15" t="s">
        <v>62</v>
      </c>
      <c r="B15" s="2">
        <v>44545</v>
      </c>
      <c r="C15" t="s">
        <v>40</v>
      </c>
      <c r="D15" t="s">
        <v>24</v>
      </c>
      <c r="E15" s="3">
        <v>37</v>
      </c>
      <c r="F15" t="s">
        <v>25</v>
      </c>
      <c r="G15" t="s">
        <v>51</v>
      </c>
      <c r="H15" t="s">
        <v>63</v>
      </c>
      <c r="I15" s="4">
        <v>8.6</v>
      </c>
      <c r="J15" s="5">
        <v>65400</v>
      </c>
      <c r="K15" s="5">
        <v>5800</v>
      </c>
      <c r="L15" s="4">
        <v>3.4</v>
      </c>
      <c r="M15" s="3">
        <v>16</v>
      </c>
      <c r="N15" s="3">
        <v>13</v>
      </c>
      <c r="O15" s="3">
        <v>1</v>
      </c>
      <c r="P15" s="4">
        <v>4.4000000000000004</v>
      </c>
      <c r="Q15" t="s">
        <v>28</v>
      </c>
      <c r="R15" t="s">
        <v>28</v>
      </c>
      <c r="S15" t="s">
        <v>34</v>
      </c>
      <c r="T15" s="2">
        <v>45899</v>
      </c>
      <c r="U15" s="4">
        <v>3.6</v>
      </c>
      <c r="V15" s="4">
        <v>3.9</v>
      </c>
      <c r="W15" t="str">
        <f t="shared" si="0"/>
        <v>December</v>
      </c>
      <c r="X15">
        <f t="shared" si="1"/>
        <v>1014</v>
      </c>
    </row>
    <row r="16" spans="1:24" x14ac:dyDescent="0.3">
      <c r="A16" t="s">
        <v>64</v>
      </c>
      <c r="B16" s="2">
        <v>44469</v>
      </c>
      <c r="C16" t="s">
        <v>54</v>
      </c>
      <c r="D16" t="s">
        <v>41</v>
      </c>
      <c r="E16" s="3">
        <v>53</v>
      </c>
      <c r="F16" t="s">
        <v>25</v>
      </c>
      <c r="G16" t="s">
        <v>33</v>
      </c>
      <c r="H16" t="s">
        <v>27</v>
      </c>
      <c r="I16" s="4">
        <v>30.9</v>
      </c>
      <c r="J16" s="5">
        <v>153300</v>
      </c>
      <c r="K16" s="5">
        <v>3600</v>
      </c>
      <c r="L16" s="4">
        <v>3.5</v>
      </c>
      <c r="M16" s="3">
        <v>19</v>
      </c>
      <c r="N16" s="3">
        <v>10</v>
      </c>
      <c r="O16" s="3">
        <v>3</v>
      </c>
      <c r="P16" s="4">
        <v>4.0999999999999996</v>
      </c>
      <c r="Q16" t="s">
        <v>28</v>
      </c>
      <c r="R16" t="s">
        <v>28</v>
      </c>
      <c r="S16" t="s">
        <v>30</v>
      </c>
      <c r="T16" s="2">
        <v>45109</v>
      </c>
      <c r="U16" s="4">
        <v>2</v>
      </c>
      <c r="V16" s="4">
        <v>2</v>
      </c>
      <c r="W16" t="str">
        <f t="shared" si="0"/>
        <v>September</v>
      </c>
      <c r="X16">
        <f t="shared" si="1"/>
        <v>1015</v>
      </c>
    </row>
    <row r="17" spans="1:24" x14ac:dyDescent="0.3">
      <c r="A17" t="s">
        <v>65</v>
      </c>
      <c r="B17" s="2">
        <v>45748</v>
      </c>
      <c r="C17" t="s">
        <v>36</v>
      </c>
      <c r="D17" t="s">
        <v>24</v>
      </c>
      <c r="E17" s="3">
        <v>56</v>
      </c>
      <c r="F17" t="s">
        <v>25</v>
      </c>
      <c r="G17" t="s">
        <v>51</v>
      </c>
      <c r="H17" t="s">
        <v>55</v>
      </c>
      <c r="I17" s="4">
        <v>30.5</v>
      </c>
      <c r="J17" s="5">
        <v>132500</v>
      </c>
      <c r="K17" s="5">
        <v>11100</v>
      </c>
      <c r="L17" s="4">
        <v>3.2</v>
      </c>
      <c r="M17" s="3">
        <v>6</v>
      </c>
      <c r="N17" s="3">
        <v>10</v>
      </c>
      <c r="O17" s="3">
        <v>4</v>
      </c>
      <c r="P17" s="4">
        <v>3.1</v>
      </c>
      <c r="Q17" t="s">
        <v>28</v>
      </c>
      <c r="R17" t="s">
        <v>28</v>
      </c>
      <c r="S17" t="s">
        <v>60</v>
      </c>
      <c r="T17" s="2">
        <v>46203</v>
      </c>
      <c r="U17" s="4">
        <v>4.3</v>
      </c>
      <c r="V17" s="4">
        <v>4.7</v>
      </c>
      <c r="W17" t="str">
        <f t="shared" si="0"/>
        <v>April</v>
      </c>
      <c r="X17">
        <f t="shared" si="1"/>
        <v>1016</v>
      </c>
    </row>
    <row r="18" spans="1:24" x14ac:dyDescent="0.3">
      <c r="A18" t="s">
        <v>66</v>
      </c>
      <c r="B18" s="2">
        <v>45682</v>
      </c>
      <c r="C18" t="s">
        <v>23</v>
      </c>
      <c r="D18" t="s">
        <v>41</v>
      </c>
      <c r="E18" s="3">
        <v>37</v>
      </c>
      <c r="F18" t="s">
        <v>25</v>
      </c>
      <c r="G18" t="s">
        <v>51</v>
      </c>
      <c r="H18" t="s">
        <v>52</v>
      </c>
      <c r="I18" s="4">
        <v>19.899999999999999</v>
      </c>
      <c r="J18" s="5">
        <v>108100</v>
      </c>
      <c r="K18" s="5">
        <v>3700</v>
      </c>
      <c r="L18" s="4">
        <v>3.3</v>
      </c>
      <c r="M18" s="3">
        <v>32</v>
      </c>
      <c r="N18" s="3">
        <v>15</v>
      </c>
      <c r="O18" s="3">
        <v>30</v>
      </c>
      <c r="P18" s="4">
        <v>4.7</v>
      </c>
      <c r="Q18" t="s">
        <v>28</v>
      </c>
      <c r="R18" t="s">
        <v>28</v>
      </c>
      <c r="S18" t="s">
        <v>38</v>
      </c>
      <c r="T18" s="2">
        <v>46203</v>
      </c>
      <c r="U18" s="4">
        <v>2.6</v>
      </c>
      <c r="V18" s="4">
        <v>3.3</v>
      </c>
      <c r="W18" t="str">
        <f t="shared" si="0"/>
        <v>January</v>
      </c>
      <c r="X18">
        <f t="shared" si="1"/>
        <v>1017</v>
      </c>
    </row>
    <row r="19" spans="1:24" x14ac:dyDescent="0.3">
      <c r="A19" t="s">
        <v>67</v>
      </c>
      <c r="B19" s="2">
        <v>45401</v>
      </c>
      <c r="C19" t="s">
        <v>36</v>
      </c>
      <c r="D19" t="s">
        <v>41</v>
      </c>
      <c r="E19" s="3">
        <v>56</v>
      </c>
      <c r="F19" t="s">
        <v>25</v>
      </c>
      <c r="G19" t="s">
        <v>42</v>
      </c>
      <c r="H19" t="s">
        <v>63</v>
      </c>
      <c r="I19" s="4">
        <v>35</v>
      </c>
      <c r="J19" s="5">
        <v>205000</v>
      </c>
      <c r="K19" s="5">
        <v>23100</v>
      </c>
      <c r="L19" s="4">
        <v>3.1</v>
      </c>
      <c r="M19" s="3">
        <v>39</v>
      </c>
      <c r="N19" s="3">
        <v>10</v>
      </c>
      <c r="O19" s="3">
        <v>29</v>
      </c>
      <c r="P19" s="4">
        <v>3.5</v>
      </c>
      <c r="Q19" t="s">
        <v>29</v>
      </c>
      <c r="R19" t="s">
        <v>28</v>
      </c>
      <c r="S19" t="s">
        <v>60</v>
      </c>
      <c r="T19" s="2">
        <v>46203</v>
      </c>
      <c r="U19" s="4">
        <v>3.1</v>
      </c>
      <c r="V19" s="4">
        <v>3.6</v>
      </c>
      <c r="W19" t="str">
        <f t="shared" si="0"/>
        <v>April</v>
      </c>
      <c r="X19">
        <f t="shared" si="1"/>
        <v>1018</v>
      </c>
    </row>
    <row r="20" spans="1:24" x14ac:dyDescent="0.3">
      <c r="A20" t="s">
        <v>68</v>
      </c>
      <c r="B20" s="2">
        <v>45515</v>
      </c>
      <c r="C20" t="s">
        <v>48</v>
      </c>
      <c r="D20" t="s">
        <v>24</v>
      </c>
      <c r="E20" s="3">
        <v>38</v>
      </c>
      <c r="F20" t="s">
        <v>25</v>
      </c>
      <c r="G20" t="s">
        <v>51</v>
      </c>
      <c r="H20" t="s">
        <v>52</v>
      </c>
      <c r="I20" s="4">
        <v>16</v>
      </c>
      <c r="J20" s="5">
        <v>92500</v>
      </c>
      <c r="K20" s="5">
        <v>3500</v>
      </c>
      <c r="L20" s="4">
        <v>4</v>
      </c>
      <c r="M20" s="3">
        <v>22</v>
      </c>
      <c r="N20" s="3">
        <v>9</v>
      </c>
      <c r="O20" s="3">
        <v>6</v>
      </c>
      <c r="P20" s="4">
        <v>3.7</v>
      </c>
      <c r="Q20" t="s">
        <v>28</v>
      </c>
      <c r="R20" t="s">
        <v>29</v>
      </c>
      <c r="S20" t="s">
        <v>43</v>
      </c>
      <c r="T20" s="2">
        <v>45716</v>
      </c>
      <c r="U20" s="4">
        <v>3.6</v>
      </c>
      <c r="V20" s="4">
        <v>4.5</v>
      </c>
      <c r="W20" t="str">
        <f t="shared" si="0"/>
        <v>August</v>
      </c>
      <c r="X20">
        <f t="shared" si="1"/>
        <v>1019</v>
      </c>
    </row>
    <row r="21" spans="1:24" x14ac:dyDescent="0.3">
      <c r="A21" t="s">
        <v>69</v>
      </c>
      <c r="B21" s="2">
        <v>44440</v>
      </c>
      <c r="C21" t="s">
        <v>23</v>
      </c>
      <c r="D21" t="s">
        <v>24</v>
      </c>
      <c r="E21" s="3">
        <v>43</v>
      </c>
      <c r="F21" t="s">
        <v>57</v>
      </c>
      <c r="G21" t="s">
        <v>51</v>
      </c>
      <c r="H21" t="s">
        <v>46</v>
      </c>
      <c r="I21" s="4">
        <v>19.5</v>
      </c>
      <c r="J21" s="5">
        <v>108500</v>
      </c>
      <c r="K21" s="5">
        <v>3600</v>
      </c>
      <c r="L21" s="4">
        <v>4.4000000000000004</v>
      </c>
      <c r="M21" s="3">
        <v>36</v>
      </c>
      <c r="N21" s="3">
        <v>14</v>
      </c>
      <c r="O21" s="3">
        <v>5</v>
      </c>
      <c r="P21" s="4">
        <v>3.4</v>
      </c>
      <c r="Q21" t="s">
        <v>28</v>
      </c>
      <c r="R21" t="s">
        <v>29</v>
      </c>
      <c r="S21" t="s">
        <v>30</v>
      </c>
      <c r="T21" s="2">
        <v>45166</v>
      </c>
      <c r="U21" s="4">
        <v>3.3</v>
      </c>
      <c r="V21" s="4">
        <v>3.4</v>
      </c>
      <c r="W21" t="str">
        <f t="shared" si="0"/>
        <v>September</v>
      </c>
      <c r="X21">
        <f t="shared" si="1"/>
        <v>1020</v>
      </c>
    </row>
    <row r="22" spans="1:24" x14ac:dyDescent="0.3">
      <c r="A22" t="s">
        <v>70</v>
      </c>
      <c r="B22" s="2">
        <v>44541</v>
      </c>
      <c r="C22" t="s">
        <v>36</v>
      </c>
      <c r="D22" t="s">
        <v>41</v>
      </c>
      <c r="E22" s="3">
        <v>28</v>
      </c>
      <c r="F22" t="s">
        <v>57</v>
      </c>
      <c r="G22" t="s">
        <v>26</v>
      </c>
      <c r="H22" t="s">
        <v>55</v>
      </c>
      <c r="I22" s="4">
        <v>5.9</v>
      </c>
      <c r="J22" s="5">
        <v>64900</v>
      </c>
      <c r="K22" s="5">
        <v>3300</v>
      </c>
      <c r="L22" s="4">
        <v>4.3</v>
      </c>
      <c r="M22" s="3">
        <v>36</v>
      </c>
      <c r="N22" s="3">
        <v>16</v>
      </c>
      <c r="O22" s="3">
        <v>15</v>
      </c>
      <c r="P22" s="4">
        <v>4.0999999999999996</v>
      </c>
      <c r="Q22" t="s">
        <v>29</v>
      </c>
      <c r="R22" t="s">
        <v>29</v>
      </c>
      <c r="S22" t="s">
        <v>34</v>
      </c>
      <c r="T22" s="2">
        <v>45912</v>
      </c>
      <c r="U22" s="4">
        <v>2.4</v>
      </c>
      <c r="V22" s="4">
        <v>2.6</v>
      </c>
      <c r="W22" t="str">
        <f t="shared" si="0"/>
        <v>December</v>
      </c>
      <c r="X22">
        <f t="shared" si="1"/>
        <v>1021</v>
      </c>
    </row>
    <row r="23" spans="1:24" x14ac:dyDescent="0.3">
      <c r="A23" t="s">
        <v>71</v>
      </c>
      <c r="B23" s="2">
        <v>45973</v>
      </c>
      <c r="C23" t="s">
        <v>23</v>
      </c>
      <c r="D23" t="s">
        <v>24</v>
      </c>
      <c r="E23" s="3">
        <v>26</v>
      </c>
      <c r="F23" t="s">
        <v>25</v>
      </c>
      <c r="G23" t="s">
        <v>51</v>
      </c>
      <c r="H23" t="s">
        <v>46</v>
      </c>
      <c r="I23" s="4">
        <v>5.0999999999999996</v>
      </c>
      <c r="J23" s="5">
        <v>51300</v>
      </c>
      <c r="K23" s="5">
        <v>2500</v>
      </c>
      <c r="L23" s="4">
        <v>2.2000000000000002</v>
      </c>
      <c r="M23" s="3">
        <v>37</v>
      </c>
      <c r="N23" s="3">
        <v>10</v>
      </c>
      <c r="O23" s="3">
        <v>1</v>
      </c>
      <c r="P23" s="4">
        <v>3.6</v>
      </c>
      <c r="Q23" t="s">
        <v>28</v>
      </c>
      <c r="R23" t="s">
        <v>28</v>
      </c>
      <c r="S23" t="s">
        <v>34</v>
      </c>
      <c r="T23" s="2">
        <v>46203</v>
      </c>
      <c r="U23" s="4">
        <v>3.2</v>
      </c>
      <c r="V23" s="4">
        <v>3.8</v>
      </c>
      <c r="W23" t="str">
        <f t="shared" si="0"/>
        <v>November</v>
      </c>
      <c r="X23">
        <f t="shared" si="1"/>
        <v>1022</v>
      </c>
    </row>
    <row r="24" spans="1:24" x14ac:dyDescent="0.3">
      <c r="A24" t="s">
        <v>72</v>
      </c>
      <c r="B24" s="2">
        <v>45524</v>
      </c>
      <c r="C24" t="s">
        <v>48</v>
      </c>
      <c r="D24" t="s">
        <v>41</v>
      </c>
      <c r="E24" s="3">
        <v>55</v>
      </c>
      <c r="F24" t="s">
        <v>25</v>
      </c>
      <c r="G24" t="s">
        <v>33</v>
      </c>
      <c r="H24" t="s">
        <v>63</v>
      </c>
      <c r="I24" s="4">
        <v>35</v>
      </c>
      <c r="J24" s="5">
        <v>159200</v>
      </c>
      <c r="K24" s="5">
        <v>9800</v>
      </c>
      <c r="L24" s="4">
        <v>3.1</v>
      </c>
      <c r="M24" s="3">
        <v>21</v>
      </c>
      <c r="N24" s="3">
        <v>7</v>
      </c>
      <c r="O24" s="3">
        <v>21</v>
      </c>
      <c r="P24" s="4">
        <v>3.2</v>
      </c>
      <c r="Q24" t="s">
        <v>29</v>
      </c>
      <c r="R24" t="s">
        <v>28</v>
      </c>
      <c r="S24" t="s">
        <v>38</v>
      </c>
      <c r="T24" s="2">
        <v>45711</v>
      </c>
      <c r="U24" s="4">
        <v>3</v>
      </c>
      <c r="V24" s="4">
        <v>3.5</v>
      </c>
      <c r="W24" t="str">
        <f t="shared" si="0"/>
        <v>August</v>
      </c>
      <c r="X24">
        <f t="shared" si="1"/>
        <v>1023</v>
      </c>
    </row>
    <row r="25" spans="1:24" x14ac:dyDescent="0.3">
      <c r="A25" t="s">
        <v>73</v>
      </c>
      <c r="B25" s="2">
        <v>45056</v>
      </c>
      <c r="C25" t="s">
        <v>54</v>
      </c>
      <c r="D25" t="s">
        <v>24</v>
      </c>
      <c r="E25" s="3">
        <v>31</v>
      </c>
      <c r="F25" t="s">
        <v>25</v>
      </c>
      <c r="G25" t="s">
        <v>26</v>
      </c>
      <c r="H25" t="s">
        <v>52</v>
      </c>
      <c r="I25" s="4">
        <v>13.3</v>
      </c>
      <c r="J25" s="5">
        <v>81700</v>
      </c>
      <c r="K25" s="5">
        <v>2700</v>
      </c>
      <c r="L25" s="4">
        <v>3.7</v>
      </c>
      <c r="M25" s="3">
        <v>22</v>
      </c>
      <c r="N25" s="3">
        <v>21</v>
      </c>
      <c r="O25" s="3">
        <v>9</v>
      </c>
      <c r="P25" s="4">
        <v>4.0999999999999996</v>
      </c>
      <c r="Q25" t="s">
        <v>28</v>
      </c>
      <c r="R25" t="s">
        <v>28</v>
      </c>
      <c r="S25" t="s">
        <v>38</v>
      </c>
      <c r="T25" s="2">
        <v>46045</v>
      </c>
      <c r="U25" s="4">
        <v>3.8</v>
      </c>
      <c r="V25" s="4">
        <v>4.2</v>
      </c>
      <c r="W25" t="str">
        <f t="shared" si="0"/>
        <v>May</v>
      </c>
      <c r="X25">
        <f t="shared" si="1"/>
        <v>1024</v>
      </c>
    </row>
    <row r="26" spans="1:24" x14ac:dyDescent="0.3">
      <c r="A26" t="s">
        <v>74</v>
      </c>
      <c r="B26" s="2">
        <v>45453</v>
      </c>
      <c r="C26" t="s">
        <v>36</v>
      </c>
      <c r="D26" t="s">
        <v>41</v>
      </c>
      <c r="E26" s="3">
        <v>59</v>
      </c>
      <c r="F26" t="s">
        <v>25</v>
      </c>
      <c r="G26" t="s">
        <v>26</v>
      </c>
      <c r="H26" t="s">
        <v>46</v>
      </c>
      <c r="I26" s="4">
        <v>35</v>
      </c>
      <c r="J26" s="5">
        <v>159800</v>
      </c>
      <c r="K26" s="5">
        <v>15100</v>
      </c>
      <c r="L26" s="4">
        <v>3.4</v>
      </c>
      <c r="M26" s="3">
        <v>30</v>
      </c>
      <c r="N26" s="3">
        <v>15</v>
      </c>
      <c r="O26" s="3">
        <v>12</v>
      </c>
      <c r="P26" s="4">
        <v>2.7</v>
      </c>
      <c r="Q26" t="s">
        <v>28</v>
      </c>
      <c r="R26" t="s">
        <v>28</v>
      </c>
      <c r="S26" t="s">
        <v>60</v>
      </c>
      <c r="T26" s="2">
        <v>45968</v>
      </c>
      <c r="U26" s="4">
        <v>4</v>
      </c>
      <c r="V26" s="4">
        <v>4.0999999999999996</v>
      </c>
      <c r="W26" t="str">
        <f t="shared" si="0"/>
        <v>June</v>
      </c>
      <c r="X26">
        <f t="shared" si="1"/>
        <v>1025</v>
      </c>
    </row>
    <row r="27" spans="1:24" x14ac:dyDescent="0.3">
      <c r="A27" t="s">
        <v>75</v>
      </c>
      <c r="B27" s="2">
        <v>44644</v>
      </c>
      <c r="C27" t="s">
        <v>48</v>
      </c>
      <c r="D27" t="s">
        <v>24</v>
      </c>
      <c r="E27" s="3">
        <v>53</v>
      </c>
      <c r="F27" t="s">
        <v>57</v>
      </c>
      <c r="G27" t="s">
        <v>26</v>
      </c>
      <c r="H27" t="s">
        <v>27</v>
      </c>
      <c r="I27" s="4">
        <v>28.5</v>
      </c>
      <c r="J27" s="5">
        <v>129600</v>
      </c>
      <c r="K27" s="5">
        <v>3800</v>
      </c>
      <c r="L27" s="4">
        <v>2.7</v>
      </c>
      <c r="M27" s="3">
        <v>34</v>
      </c>
      <c r="N27" s="3">
        <v>24</v>
      </c>
      <c r="O27" s="3">
        <v>8</v>
      </c>
      <c r="P27" s="4">
        <v>3.6</v>
      </c>
      <c r="Q27" t="s">
        <v>28</v>
      </c>
      <c r="R27" t="s">
        <v>28</v>
      </c>
      <c r="S27" t="s">
        <v>60</v>
      </c>
      <c r="T27" s="2">
        <v>45813</v>
      </c>
      <c r="U27" s="4">
        <v>3.9</v>
      </c>
      <c r="V27" s="4">
        <v>4</v>
      </c>
      <c r="W27" t="str">
        <f t="shared" si="0"/>
        <v>March</v>
      </c>
      <c r="X27">
        <f t="shared" si="1"/>
        <v>1026</v>
      </c>
    </row>
    <row r="28" spans="1:24" x14ac:dyDescent="0.3">
      <c r="A28" t="s">
        <v>76</v>
      </c>
      <c r="B28" s="2">
        <v>45213</v>
      </c>
      <c r="C28" t="s">
        <v>23</v>
      </c>
      <c r="D28" t="s">
        <v>41</v>
      </c>
      <c r="E28" s="3">
        <v>30</v>
      </c>
      <c r="F28" t="s">
        <v>25</v>
      </c>
      <c r="G28" t="s">
        <v>26</v>
      </c>
      <c r="H28" t="s">
        <v>46</v>
      </c>
      <c r="I28" s="4">
        <v>4.9000000000000004</v>
      </c>
      <c r="J28" s="5">
        <v>46600</v>
      </c>
      <c r="K28" s="5">
        <v>3600</v>
      </c>
      <c r="L28" s="4">
        <v>3.8</v>
      </c>
      <c r="M28" s="3">
        <v>34</v>
      </c>
      <c r="N28" s="3">
        <v>11</v>
      </c>
      <c r="O28" s="3">
        <v>9</v>
      </c>
      <c r="P28" s="4">
        <v>3</v>
      </c>
      <c r="Q28" t="s">
        <v>28</v>
      </c>
      <c r="R28" t="s">
        <v>28</v>
      </c>
      <c r="S28" t="s">
        <v>34</v>
      </c>
      <c r="T28" s="2">
        <v>46001</v>
      </c>
      <c r="U28" s="4">
        <v>3.4</v>
      </c>
      <c r="V28" s="4">
        <v>3.9</v>
      </c>
      <c r="W28" t="str">
        <f t="shared" si="0"/>
        <v>October</v>
      </c>
      <c r="X28">
        <f t="shared" si="1"/>
        <v>1027</v>
      </c>
    </row>
    <row r="29" spans="1:24" x14ac:dyDescent="0.3">
      <c r="A29" t="s">
        <v>77</v>
      </c>
      <c r="B29" s="2">
        <v>45100</v>
      </c>
      <c r="C29" t="s">
        <v>32</v>
      </c>
      <c r="D29" t="s">
        <v>24</v>
      </c>
      <c r="E29" s="3">
        <v>33</v>
      </c>
      <c r="F29" t="s">
        <v>57</v>
      </c>
      <c r="G29" t="s">
        <v>26</v>
      </c>
      <c r="H29" t="s">
        <v>63</v>
      </c>
      <c r="I29" s="4">
        <v>10.199999999999999</v>
      </c>
      <c r="J29" s="5">
        <v>74200</v>
      </c>
      <c r="K29" s="5">
        <v>6100</v>
      </c>
      <c r="L29" s="4">
        <v>3.6</v>
      </c>
      <c r="M29" s="3">
        <v>28</v>
      </c>
      <c r="N29" s="3">
        <v>11</v>
      </c>
      <c r="O29" s="3">
        <v>0</v>
      </c>
      <c r="P29" s="4">
        <v>1.9</v>
      </c>
      <c r="Q29" t="s">
        <v>29</v>
      </c>
      <c r="R29" t="s">
        <v>28</v>
      </c>
      <c r="S29" t="s">
        <v>43</v>
      </c>
      <c r="T29" s="2">
        <v>45496</v>
      </c>
      <c r="U29" s="4">
        <v>4.5999999999999996</v>
      </c>
      <c r="V29" s="4">
        <v>5</v>
      </c>
      <c r="W29" t="str">
        <f t="shared" si="0"/>
        <v>June</v>
      </c>
      <c r="X29">
        <f t="shared" si="1"/>
        <v>1028</v>
      </c>
    </row>
    <row r="30" spans="1:24" x14ac:dyDescent="0.3">
      <c r="A30" t="s">
        <v>78</v>
      </c>
      <c r="B30" s="2">
        <v>44676</v>
      </c>
      <c r="C30" t="s">
        <v>23</v>
      </c>
      <c r="D30" t="s">
        <v>41</v>
      </c>
      <c r="E30" s="3">
        <v>31</v>
      </c>
      <c r="F30" t="s">
        <v>25</v>
      </c>
      <c r="G30" t="s">
        <v>26</v>
      </c>
      <c r="H30" t="s">
        <v>27</v>
      </c>
      <c r="I30" s="4">
        <v>4.8</v>
      </c>
      <c r="J30" s="5">
        <v>56200</v>
      </c>
      <c r="K30" s="5">
        <v>6200</v>
      </c>
      <c r="L30" s="4">
        <v>5</v>
      </c>
      <c r="M30" s="3">
        <v>12</v>
      </c>
      <c r="N30" s="3">
        <v>8</v>
      </c>
      <c r="O30" s="3">
        <v>2</v>
      </c>
      <c r="P30" s="4">
        <v>3.4</v>
      </c>
      <c r="Q30" t="s">
        <v>28</v>
      </c>
      <c r="R30" t="s">
        <v>29</v>
      </c>
      <c r="S30" t="s">
        <v>30</v>
      </c>
      <c r="T30" s="2">
        <v>45057</v>
      </c>
      <c r="U30" s="4">
        <v>3.2</v>
      </c>
      <c r="V30" s="4">
        <v>3.6</v>
      </c>
      <c r="W30" t="str">
        <f t="shared" si="0"/>
        <v>April</v>
      </c>
      <c r="X30">
        <f t="shared" si="1"/>
        <v>1029</v>
      </c>
    </row>
    <row r="31" spans="1:24" x14ac:dyDescent="0.3">
      <c r="A31" t="s">
        <v>79</v>
      </c>
      <c r="B31" s="2">
        <v>45923</v>
      </c>
      <c r="C31" t="s">
        <v>48</v>
      </c>
      <c r="D31" t="s">
        <v>41</v>
      </c>
      <c r="E31" s="3">
        <v>26</v>
      </c>
      <c r="F31" t="s">
        <v>25</v>
      </c>
      <c r="G31" t="s">
        <v>33</v>
      </c>
      <c r="H31" t="s">
        <v>37</v>
      </c>
      <c r="I31" s="4">
        <v>0</v>
      </c>
      <c r="J31" s="5">
        <v>38900</v>
      </c>
      <c r="K31" s="5">
        <v>2200</v>
      </c>
      <c r="L31" s="4">
        <v>4.2</v>
      </c>
      <c r="M31" s="3">
        <v>26</v>
      </c>
      <c r="N31" s="3">
        <v>14</v>
      </c>
      <c r="O31" s="3">
        <v>2</v>
      </c>
      <c r="P31" s="4">
        <v>5</v>
      </c>
      <c r="Q31" t="s">
        <v>28</v>
      </c>
      <c r="R31" t="s">
        <v>28</v>
      </c>
      <c r="S31" t="s">
        <v>38</v>
      </c>
      <c r="T31" s="2">
        <v>46203</v>
      </c>
      <c r="U31" s="4">
        <v>2.6</v>
      </c>
      <c r="V31" s="4">
        <v>2.7</v>
      </c>
      <c r="W31" t="str">
        <f t="shared" si="0"/>
        <v>September</v>
      </c>
      <c r="X31">
        <f t="shared" si="1"/>
        <v>1030</v>
      </c>
    </row>
    <row r="32" spans="1:24" x14ac:dyDescent="0.3">
      <c r="A32" t="s">
        <v>80</v>
      </c>
      <c r="B32" s="2">
        <v>45295</v>
      </c>
      <c r="C32" t="s">
        <v>40</v>
      </c>
      <c r="D32" t="s">
        <v>24</v>
      </c>
      <c r="E32" s="3">
        <v>47</v>
      </c>
      <c r="F32" t="s">
        <v>25</v>
      </c>
      <c r="G32" t="s">
        <v>26</v>
      </c>
      <c r="H32" t="s">
        <v>63</v>
      </c>
      <c r="I32" s="4">
        <v>17.5</v>
      </c>
      <c r="J32" s="5">
        <v>102000</v>
      </c>
      <c r="K32" s="5">
        <v>7300</v>
      </c>
      <c r="L32" s="4">
        <v>2.9</v>
      </c>
      <c r="M32" s="3">
        <v>9</v>
      </c>
      <c r="N32" s="3">
        <v>6</v>
      </c>
      <c r="O32" s="3">
        <v>6</v>
      </c>
      <c r="P32" s="4">
        <v>5</v>
      </c>
      <c r="Q32" t="s">
        <v>28</v>
      </c>
      <c r="R32" t="s">
        <v>28</v>
      </c>
      <c r="S32" t="s">
        <v>38</v>
      </c>
      <c r="T32" s="2">
        <v>45484</v>
      </c>
      <c r="U32" s="4">
        <v>4.4000000000000004</v>
      </c>
      <c r="V32" s="4">
        <v>4.0999999999999996</v>
      </c>
      <c r="W32" t="str">
        <f t="shared" si="0"/>
        <v>January</v>
      </c>
      <c r="X32">
        <f t="shared" si="1"/>
        <v>1031</v>
      </c>
    </row>
    <row r="33" spans="1:24" x14ac:dyDescent="0.3">
      <c r="A33" t="s">
        <v>81</v>
      </c>
      <c r="B33" s="2">
        <v>46017</v>
      </c>
      <c r="C33" t="s">
        <v>48</v>
      </c>
      <c r="D33" t="s">
        <v>41</v>
      </c>
      <c r="E33" s="3">
        <v>28</v>
      </c>
      <c r="F33" t="s">
        <v>57</v>
      </c>
      <c r="G33" t="s">
        <v>26</v>
      </c>
      <c r="H33" t="s">
        <v>37</v>
      </c>
      <c r="I33" s="4">
        <v>0.2</v>
      </c>
      <c r="J33" s="5">
        <v>28200</v>
      </c>
      <c r="K33" s="5">
        <v>1800</v>
      </c>
      <c r="L33" s="4">
        <v>3.4</v>
      </c>
      <c r="M33" s="3">
        <v>33</v>
      </c>
      <c r="N33" s="3">
        <v>12</v>
      </c>
      <c r="O33" s="3">
        <v>21</v>
      </c>
      <c r="P33" s="4">
        <v>3.9</v>
      </c>
      <c r="Q33" t="s">
        <v>28</v>
      </c>
      <c r="R33" t="s">
        <v>28</v>
      </c>
      <c r="S33" t="s">
        <v>43</v>
      </c>
      <c r="T33" s="2">
        <v>46203</v>
      </c>
      <c r="U33" s="4">
        <v>4.3</v>
      </c>
      <c r="V33" s="4">
        <v>5</v>
      </c>
      <c r="W33" t="str">
        <f t="shared" si="0"/>
        <v>December</v>
      </c>
      <c r="X33">
        <f t="shared" si="1"/>
        <v>1032</v>
      </c>
    </row>
    <row r="34" spans="1:24" x14ac:dyDescent="0.3">
      <c r="A34" t="s">
        <v>82</v>
      </c>
      <c r="B34" s="2">
        <v>45579</v>
      </c>
      <c r="C34" t="s">
        <v>23</v>
      </c>
      <c r="D34" t="s">
        <v>41</v>
      </c>
      <c r="E34" s="3">
        <v>60</v>
      </c>
      <c r="F34" t="s">
        <v>50</v>
      </c>
      <c r="G34" t="s">
        <v>26</v>
      </c>
      <c r="H34" t="s">
        <v>27</v>
      </c>
      <c r="I34" s="4">
        <v>34.700000000000003</v>
      </c>
      <c r="J34" s="5">
        <v>148800</v>
      </c>
      <c r="K34" s="5">
        <v>14900</v>
      </c>
      <c r="L34" s="4">
        <v>3.9</v>
      </c>
      <c r="M34" s="3">
        <v>29</v>
      </c>
      <c r="N34" s="3">
        <v>15</v>
      </c>
      <c r="O34" s="3">
        <v>7</v>
      </c>
      <c r="P34" s="4">
        <v>2.5</v>
      </c>
      <c r="Q34" t="s">
        <v>29</v>
      </c>
      <c r="R34" t="s">
        <v>28</v>
      </c>
      <c r="S34" t="s">
        <v>38</v>
      </c>
      <c r="T34" s="2">
        <v>46203</v>
      </c>
      <c r="U34" s="4">
        <v>4.0999999999999996</v>
      </c>
      <c r="V34" s="4">
        <v>4.5</v>
      </c>
      <c r="W34" t="str">
        <f t="shared" si="0"/>
        <v>October</v>
      </c>
      <c r="X34">
        <f t="shared" si="1"/>
        <v>1033</v>
      </c>
    </row>
    <row r="35" spans="1:24" x14ac:dyDescent="0.3">
      <c r="A35" t="s">
        <v>83</v>
      </c>
      <c r="B35" s="2">
        <v>44936</v>
      </c>
      <c r="C35" t="s">
        <v>40</v>
      </c>
      <c r="D35" t="s">
        <v>24</v>
      </c>
      <c r="E35" s="3">
        <v>30</v>
      </c>
      <c r="F35" t="s">
        <v>57</v>
      </c>
      <c r="G35" t="s">
        <v>51</v>
      </c>
      <c r="H35" t="s">
        <v>52</v>
      </c>
      <c r="I35" s="4">
        <v>10</v>
      </c>
      <c r="J35" s="5">
        <v>70500</v>
      </c>
      <c r="K35" s="5">
        <v>5600</v>
      </c>
      <c r="L35" s="4">
        <v>4.0999999999999996</v>
      </c>
      <c r="M35" s="3">
        <v>6</v>
      </c>
      <c r="N35" s="3">
        <v>11</v>
      </c>
      <c r="O35" s="3">
        <v>9</v>
      </c>
      <c r="P35" s="4">
        <v>2.6</v>
      </c>
      <c r="Q35" t="s">
        <v>28</v>
      </c>
      <c r="R35" t="s">
        <v>29</v>
      </c>
      <c r="S35" t="s">
        <v>60</v>
      </c>
      <c r="T35" s="2">
        <v>46090</v>
      </c>
      <c r="U35" s="4">
        <v>2.8</v>
      </c>
      <c r="V35" s="4">
        <v>2.9</v>
      </c>
      <c r="W35" t="str">
        <f t="shared" si="0"/>
        <v>January</v>
      </c>
      <c r="X35">
        <f t="shared" si="1"/>
        <v>1034</v>
      </c>
    </row>
    <row r="36" spans="1:24" x14ac:dyDescent="0.3">
      <c r="A36" t="s">
        <v>84</v>
      </c>
      <c r="B36" s="2">
        <v>44721</v>
      </c>
      <c r="C36" t="s">
        <v>23</v>
      </c>
      <c r="D36" t="s">
        <v>24</v>
      </c>
      <c r="E36" s="3">
        <v>30</v>
      </c>
      <c r="F36" t="s">
        <v>25</v>
      </c>
      <c r="G36" t="s">
        <v>26</v>
      </c>
      <c r="H36" t="s">
        <v>63</v>
      </c>
      <c r="I36" s="4">
        <v>5.2</v>
      </c>
      <c r="J36" s="5">
        <v>44200</v>
      </c>
      <c r="K36" s="5">
        <v>4600</v>
      </c>
      <c r="L36" s="4">
        <v>2.5</v>
      </c>
      <c r="M36" s="3">
        <v>25</v>
      </c>
      <c r="N36" s="3">
        <v>9</v>
      </c>
      <c r="O36" s="3">
        <v>12</v>
      </c>
      <c r="P36" s="4">
        <v>4.0999999999999996</v>
      </c>
      <c r="Q36" t="s">
        <v>28</v>
      </c>
      <c r="R36" t="s">
        <v>28</v>
      </c>
      <c r="S36" t="s">
        <v>30</v>
      </c>
      <c r="T36" s="2">
        <v>45395</v>
      </c>
      <c r="U36" s="4">
        <v>4.0999999999999996</v>
      </c>
      <c r="V36" s="4">
        <v>4.3</v>
      </c>
      <c r="W36" t="str">
        <f t="shared" si="0"/>
        <v>June</v>
      </c>
      <c r="X36">
        <f t="shared" si="1"/>
        <v>1035</v>
      </c>
    </row>
    <row r="37" spans="1:24" x14ac:dyDescent="0.3">
      <c r="A37" t="s">
        <v>85</v>
      </c>
      <c r="B37" s="2">
        <v>45952</v>
      </c>
      <c r="C37" t="s">
        <v>36</v>
      </c>
      <c r="D37" t="s">
        <v>41</v>
      </c>
      <c r="E37" s="3">
        <v>38</v>
      </c>
      <c r="F37" t="s">
        <v>25</v>
      </c>
      <c r="G37" t="s">
        <v>26</v>
      </c>
      <c r="H37" t="s">
        <v>37</v>
      </c>
      <c r="I37" s="4">
        <v>15.9</v>
      </c>
      <c r="J37" s="5">
        <v>93700</v>
      </c>
      <c r="K37" s="5">
        <v>10100</v>
      </c>
      <c r="L37" s="4">
        <v>3.1</v>
      </c>
      <c r="M37" s="3">
        <v>27</v>
      </c>
      <c r="N37" s="3">
        <v>8</v>
      </c>
      <c r="O37" s="3">
        <v>20</v>
      </c>
      <c r="P37" s="4">
        <v>4</v>
      </c>
      <c r="Q37" t="s">
        <v>28</v>
      </c>
      <c r="R37" t="s">
        <v>28</v>
      </c>
      <c r="S37" t="s">
        <v>43</v>
      </c>
      <c r="T37" s="2">
        <v>46203</v>
      </c>
      <c r="U37" s="4">
        <v>3.3</v>
      </c>
      <c r="V37" s="4">
        <v>3.7</v>
      </c>
      <c r="W37" t="str">
        <f t="shared" si="0"/>
        <v>October</v>
      </c>
      <c r="X37">
        <f t="shared" si="1"/>
        <v>1036</v>
      </c>
    </row>
    <row r="38" spans="1:24" x14ac:dyDescent="0.3">
      <c r="A38" t="s">
        <v>86</v>
      </c>
      <c r="B38" s="2">
        <v>44473</v>
      </c>
      <c r="C38" t="s">
        <v>40</v>
      </c>
      <c r="D38" t="s">
        <v>41</v>
      </c>
      <c r="E38" s="3">
        <v>46</v>
      </c>
      <c r="F38" t="s">
        <v>25</v>
      </c>
      <c r="G38" t="s">
        <v>51</v>
      </c>
      <c r="H38" t="s">
        <v>52</v>
      </c>
      <c r="I38" s="4">
        <v>25.5</v>
      </c>
      <c r="J38" s="5">
        <v>114900</v>
      </c>
      <c r="K38" s="5">
        <v>5400</v>
      </c>
      <c r="L38" s="4">
        <v>2.9</v>
      </c>
      <c r="M38" s="3">
        <v>13</v>
      </c>
      <c r="N38" s="3">
        <v>11</v>
      </c>
      <c r="O38" s="3">
        <v>21</v>
      </c>
      <c r="P38" s="4">
        <v>2.2000000000000002</v>
      </c>
      <c r="Q38" t="s">
        <v>28</v>
      </c>
      <c r="R38" t="s">
        <v>28</v>
      </c>
      <c r="S38" t="s">
        <v>60</v>
      </c>
      <c r="T38" s="2">
        <v>45814</v>
      </c>
      <c r="U38" s="4">
        <v>3.7</v>
      </c>
      <c r="V38" s="4">
        <v>3.9</v>
      </c>
      <c r="W38" t="str">
        <f t="shared" si="0"/>
        <v>October</v>
      </c>
      <c r="X38">
        <f t="shared" si="1"/>
        <v>1037</v>
      </c>
    </row>
    <row r="39" spans="1:24" x14ac:dyDescent="0.3">
      <c r="A39" t="s">
        <v>87</v>
      </c>
      <c r="B39" s="2">
        <v>44576</v>
      </c>
      <c r="C39" t="s">
        <v>36</v>
      </c>
      <c r="D39" t="s">
        <v>41</v>
      </c>
      <c r="E39" s="3">
        <v>47</v>
      </c>
      <c r="F39" t="s">
        <v>50</v>
      </c>
      <c r="G39" t="s">
        <v>26</v>
      </c>
      <c r="H39" t="s">
        <v>55</v>
      </c>
      <c r="I39" s="4">
        <v>20.9</v>
      </c>
      <c r="J39" s="5">
        <v>103100</v>
      </c>
      <c r="K39" s="5">
        <v>11600</v>
      </c>
      <c r="L39" s="4">
        <v>2.5</v>
      </c>
      <c r="M39" s="3">
        <v>35</v>
      </c>
      <c r="N39" s="3">
        <v>15</v>
      </c>
      <c r="O39" s="3">
        <v>3</v>
      </c>
      <c r="P39" s="4">
        <v>4.2</v>
      </c>
      <c r="Q39" t="s">
        <v>28</v>
      </c>
      <c r="R39" t="s">
        <v>28</v>
      </c>
      <c r="S39" t="s">
        <v>60</v>
      </c>
      <c r="T39" s="2">
        <v>45751</v>
      </c>
      <c r="U39" s="4">
        <v>2.8</v>
      </c>
      <c r="V39" s="4">
        <v>3.3</v>
      </c>
      <c r="W39" t="str">
        <f t="shared" si="0"/>
        <v>January</v>
      </c>
      <c r="X39">
        <f t="shared" si="1"/>
        <v>1038</v>
      </c>
    </row>
    <row r="40" spans="1:24" x14ac:dyDescent="0.3">
      <c r="A40" t="s">
        <v>88</v>
      </c>
      <c r="B40" s="2">
        <v>45907</v>
      </c>
      <c r="C40" t="s">
        <v>54</v>
      </c>
      <c r="D40" t="s">
        <v>24</v>
      </c>
      <c r="E40" s="3">
        <v>31</v>
      </c>
      <c r="F40" t="s">
        <v>57</v>
      </c>
      <c r="G40" t="s">
        <v>51</v>
      </c>
      <c r="H40" t="s">
        <v>37</v>
      </c>
      <c r="I40" s="4">
        <v>14.1</v>
      </c>
      <c r="J40" s="5">
        <v>72300</v>
      </c>
      <c r="K40" s="5">
        <v>4500</v>
      </c>
      <c r="L40" s="4">
        <v>2.7</v>
      </c>
      <c r="M40" s="3">
        <v>21</v>
      </c>
      <c r="N40" s="3">
        <v>9</v>
      </c>
      <c r="O40" s="3">
        <v>25</v>
      </c>
      <c r="P40" s="4">
        <v>4.9000000000000004</v>
      </c>
      <c r="Q40" t="s">
        <v>28</v>
      </c>
      <c r="R40" t="s">
        <v>28</v>
      </c>
      <c r="S40" t="s">
        <v>38</v>
      </c>
      <c r="T40" s="2">
        <v>46203</v>
      </c>
      <c r="U40" s="4">
        <v>3.7</v>
      </c>
      <c r="V40" s="4">
        <v>3.8</v>
      </c>
      <c r="W40" t="str">
        <f t="shared" si="0"/>
        <v>September</v>
      </c>
      <c r="X40">
        <f t="shared" si="1"/>
        <v>1039</v>
      </c>
    </row>
    <row r="41" spans="1:24" x14ac:dyDescent="0.3">
      <c r="A41" t="s">
        <v>89</v>
      </c>
      <c r="B41" s="2">
        <v>44416</v>
      </c>
      <c r="C41" t="s">
        <v>48</v>
      </c>
      <c r="D41" t="s">
        <v>24</v>
      </c>
      <c r="E41" s="3">
        <v>26</v>
      </c>
      <c r="F41" t="s">
        <v>25</v>
      </c>
      <c r="G41" t="s">
        <v>26</v>
      </c>
      <c r="H41" t="s">
        <v>46</v>
      </c>
      <c r="I41" s="4">
        <v>6.8</v>
      </c>
      <c r="J41" s="5">
        <v>59100</v>
      </c>
      <c r="K41" s="5">
        <v>3900</v>
      </c>
      <c r="L41" s="4">
        <v>4</v>
      </c>
      <c r="M41" s="3">
        <v>33</v>
      </c>
      <c r="N41" s="3">
        <v>12</v>
      </c>
      <c r="O41" s="3">
        <v>3</v>
      </c>
      <c r="P41" s="4">
        <v>3.5</v>
      </c>
      <c r="Q41" t="s">
        <v>28</v>
      </c>
      <c r="R41" t="s">
        <v>29</v>
      </c>
      <c r="S41" t="s">
        <v>34</v>
      </c>
      <c r="T41" s="2">
        <v>45530</v>
      </c>
      <c r="U41" s="4">
        <v>3.3</v>
      </c>
      <c r="V41" s="4">
        <v>3.7</v>
      </c>
      <c r="W41" t="str">
        <f t="shared" si="0"/>
        <v>August</v>
      </c>
      <c r="X41">
        <f t="shared" si="1"/>
        <v>1040</v>
      </c>
    </row>
    <row r="42" spans="1:24" x14ac:dyDescent="0.3">
      <c r="A42" t="s">
        <v>90</v>
      </c>
      <c r="B42" s="2">
        <v>44224</v>
      </c>
      <c r="C42" t="s">
        <v>23</v>
      </c>
      <c r="D42" t="s">
        <v>24</v>
      </c>
      <c r="E42" s="3">
        <v>53</v>
      </c>
      <c r="F42" t="s">
        <v>57</v>
      </c>
      <c r="G42" t="s">
        <v>51</v>
      </c>
      <c r="H42" t="s">
        <v>46</v>
      </c>
      <c r="I42" s="4">
        <v>29.9</v>
      </c>
      <c r="J42" s="5">
        <v>130000</v>
      </c>
      <c r="K42" s="5">
        <v>5100</v>
      </c>
      <c r="L42" s="4">
        <v>2.9</v>
      </c>
      <c r="M42" s="3">
        <v>16</v>
      </c>
      <c r="N42" s="3">
        <v>18</v>
      </c>
      <c r="O42" s="3">
        <v>13</v>
      </c>
      <c r="P42" s="4">
        <v>3</v>
      </c>
      <c r="Q42" t="s">
        <v>28</v>
      </c>
      <c r="R42" t="s">
        <v>28</v>
      </c>
      <c r="S42" t="s">
        <v>30</v>
      </c>
      <c r="T42" s="2">
        <v>44603</v>
      </c>
      <c r="U42" s="4">
        <v>3.1</v>
      </c>
      <c r="V42" s="4">
        <v>3.6</v>
      </c>
      <c r="W42" t="str">
        <f t="shared" si="0"/>
        <v>January</v>
      </c>
      <c r="X42">
        <f t="shared" si="1"/>
        <v>1041</v>
      </c>
    </row>
    <row r="43" spans="1:24" x14ac:dyDescent="0.3">
      <c r="A43" t="s">
        <v>91</v>
      </c>
      <c r="B43" s="2">
        <v>45687</v>
      </c>
      <c r="C43" t="s">
        <v>40</v>
      </c>
      <c r="D43" t="s">
        <v>41</v>
      </c>
      <c r="E43" s="3">
        <v>46</v>
      </c>
      <c r="F43" t="s">
        <v>25</v>
      </c>
      <c r="G43" t="s">
        <v>26</v>
      </c>
      <c r="H43" t="s">
        <v>46</v>
      </c>
      <c r="I43" s="4">
        <v>23.2</v>
      </c>
      <c r="J43" s="5">
        <v>114200</v>
      </c>
      <c r="K43" s="5">
        <v>10900</v>
      </c>
      <c r="L43" s="4">
        <v>3.6</v>
      </c>
      <c r="M43" s="3">
        <v>13</v>
      </c>
      <c r="N43" s="3">
        <v>8</v>
      </c>
      <c r="O43" s="3">
        <v>18</v>
      </c>
      <c r="P43" s="4">
        <v>2.7</v>
      </c>
      <c r="Q43" t="s">
        <v>28</v>
      </c>
      <c r="R43" t="s">
        <v>28</v>
      </c>
      <c r="S43" t="s">
        <v>38</v>
      </c>
      <c r="T43" s="2">
        <v>46203</v>
      </c>
      <c r="U43" s="4">
        <v>4.4000000000000004</v>
      </c>
      <c r="V43" s="4">
        <v>4.8</v>
      </c>
      <c r="W43" t="str">
        <f t="shared" si="0"/>
        <v>January</v>
      </c>
      <c r="X43">
        <f t="shared" si="1"/>
        <v>1042</v>
      </c>
    </row>
    <row r="44" spans="1:24" x14ac:dyDescent="0.3">
      <c r="A44" t="s">
        <v>92</v>
      </c>
      <c r="B44" s="2">
        <v>45950</v>
      </c>
      <c r="C44" t="s">
        <v>23</v>
      </c>
      <c r="D44" t="s">
        <v>41</v>
      </c>
      <c r="E44" s="3">
        <v>21</v>
      </c>
      <c r="F44" t="s">
        <v>25</v>
      </c>
      <c r="G44" t="s">
        <v>26</v>
      </c>
      <c r="H44" t="s">
        <v>52</v>
      </c>
      <c r="I44" s="4">
        <v>0</v>
      </c>
      <c r="J44" s="5">
        <v>34600</v>
      </c>
      <c r="K44" s="5">
        <v>2100</v>
      </c>
      <c r="L44" s="4">
        <v>4</v>
      </c>
      <c r="M44" s="3">
        <v>7</v>
      </c>
      <c r="N44" s="3">
        <v>14</v>
      </c>
      <c r="O44" s="3">
        <v>3</v>
      </c>
      <c r="P44" s="4">
        <v>3.7</v>
      </c>
      <c r="Q44" t="s">
        <v>29</v>
      </c>
      <c r="R44" t="s">
        <v>28</v>
      </c>
      <c r="S44" t="s">
        <v>30</v>
      </c>
      <c r="T44" s="2">
        <v>46203</v>
      </c>
      <c r="U44" s="4">
        <v>2.5</v>
      </c>
      <c r="V44" s="4">
        <v>2.9</v>
      </c>
      <c r="W44" t="str">
        <f t="shared" si="0"/>
        <v>October</v>
      </c>
      <c r="X44">
        <f t="shared" si="1"/>
        <v>1043</v>
      </c>
    </row>
    <row r="45" spans="1:24" x14ac:dyDescent="0.3">
      <c r="A45" t="s">
        <v>93</v>
      </c>
      <c r="B45" s="2">
        <v>44950</v>
      </c>
      <c r="C45" t="s">
        <v>36</v>
      </c>
      <c r="D45" t="s">
        <v>24</v>
      </c>
      <c r="E45" s="3">
        <v>22</v>
      </c>
      <c r="F45" t="s">
        <v>25</v>
      </c>
      <c r="G45" t="s">
        <v>51</v>
      </c>
      <c r="H45" t="s">
        <v>37</v>
      </c>
      <c r="I45" s="4">
        <v>0</v>
      </c>
      <c r="J45" s="5">
        <v>32600</v>
      </c>
      <c r="K45" s="5">
        <v>3700</v>
      </c>
      <c r="L45" s="4">
        <v>2.9</v>
      </c>
      <c r="M45" s="3">
        <v>28</v>
      </c>
      <c r="N45" s="3">
        <v>14</v>
      </c>
      <c r="O45" s="3">
        <v>26</v>
      </c>
      <c r="P45" s="4">
        <v>3.2</v>
      </c>
      <c r="Q45" t="s">
        <v>28</v>
      </c>
      <c r="R45" t="s">
        <v>28</v>
      </c>
      <c r="S45" t="s">
        <v>43</v>
      </c>
      <c r="T45" s="2">
        <v>45689</v>
      </c>
      <c r="U45" s="4">
        <v>2.1</v>
      </c>
      <c r="V45" s="4">
        <v>2.5</v>
      </c>
      <c r="W45" t="str">
        <f t="shared" si="0"/>
        <v>January</v>
      </c>
      <c r="X45">
        <f t="shared" si="1"/>
        <v>1044</v>
      </c>
    </row>
    <row r="46" spans="1:24" x14ac:dyDescent="0.3">
      <c r="A46" t="s">
        <v>94</v>
      </c>
      <c r="B46" s="2">
        <v>44895</v>
      </c>
      <c r="C46" t="s">
        <v>23</v>
      </c>
      <c r="D46" t="s">
        <v>41</v>
      </c>
      <c r="E46" s="3">
        <v>46</v>
      </c>
      <c r="F46" t="s">
        <v>25</v>
      </c>
      <c r="G46" t="s">
        <v>26</v>
      </c>
      <c r="H46" t="s">
        <v>63</v>
      </c>
      <c r="I46" s="4">
        <v>23.2</v>
      </c>
      <c r="J46" s="5">
        <v>117200</v>
      </c>
      <c r="K46" s="5">
        <v>4000</v>
      </c>
      <c r="L46" s="4">
        <v>3.8</v>
      </c>
      <c r="M46" s="3">
        <v>9</v>
      </c>
      <c r="N46" s="3">
        <v>9</v>
      </c>
      <c r="O46" s="3">
        <v>24</v>
      </c>
      <c r="P46" s="4">
        <v>3.2</v>
      </c>
      <c r="Q46" t="s">
        <v>28</v>
      </c>
      <c r="R46" t="s">
        <v>28</v>
      </c>
      <c r="S46" t="s">
        <v>34</v>
      </c>
      <c r="T46" s="2">
        <v>46078</v>
      </c>
      <c r="U46" s="4">
        <v>3.8</v>
      </c>
      <c r="V46" s="4">
        <v>4.0999999999999996</v>
      </c>
      <c r="W46" t="str">
        <f t="shared" si="0"/>
        <v>November</v>
      </c>
      <c r="X46">
        <f t="shared" si="1"/>
        <v>1045</v>
      </c>
    </row>
    <row r="47" spans="1:24" x14ac:dyDescent="0.3">
      <c r="A47" t="s">
        <v>95</v>
      </c>
      <c r="B47" s="2">
        <v>45598</v>
      </c>
      <c r="C47" t="s">
        <v>54</v>
      </c>
      <c r="D47" t="s">
        <v>24</v>
      </c>
      <c r="E47" s="3">
        <v>42</v>
      </c>
      <c r="F47" t="s">
        <v>25</v>
      </c>
      <c r="G47" t="s">
        <v>51</v>
      </c>
      <c r="H47" t="s">
        <v>63</v>
      </c>
      <c r="I47" s="4">
        <v>23</v>
      </c>
      <c r="J47" s="5">
        <v>113100</v>
      </c>
      <c r="K47" s="5">
        <v>10800</v>
      </c>
      <c r="L47" s="4">
        <v>3.6</v>
      </c>
      <c r="M47" s="3">
        <v>18</v>
      </c>
      <c r="N47" s="3">
        <v>7</v>
      </c>
      <c r="O47" s="3">
        <v>21</v>
      </c>
      <c r="P47" s="4">
        <v>4.9000000000000004</v>
      </c>
      <c r="Q47" t="s">
        <v>28</v>
      </c>
      <c r="R47" t="s">
        <v>28</v>
      </c>
      <c r="S47" t="s">
        <v>43</v>
      </c>
      <c r="T47" s="2">
        <v>45916</v>
      </c>
      <c r="U47" s="4">
        <v>3.9</v>
      </c>
      <c r="V47" s="4">
        <v>4.3</v>
      </c>
      <c r="W47" t="str">
        <f t="shared" si="0"/>
        <v>November</v>
      </c>
      <c r="X47">
        <f t="shared" si="1"/>
        <v>1046</v>
      </c>
    </row>
    <row r="48" spans="1:24" x14ac:dyDescent="0.3">
      <c r="A48" t="s">
        <v>96</v>
      </c>
      <c r="B48" s="2">
        <v>45728</v>
      </c>
      <c r="C48" t="s">
        <v>32</v>
      </c>
      <c r="D48" t="s">
        <v>41</v>
      </c>
      <c r="E48" s="3">
        <v>46</v>
      </c>
      <c r="F48" t="s">
        <v>25</v>
      </c>
      <c r="G48" t="s">
        <v>51</v>
      </c>
      <c r="H48" t="s">
        <v>37</v>
      </c>
      <c r="I48" s="4">
        <v>23</v>
      </c>
      <c r="J48" s="5">
        <v>101900</v>
      </c>
      <c r="K48" s="5">
        <v>3900</v>
      </c>
      <c r="L48" s="4">
        <v>3.6</v>
      </c>
      <c r="M48" s="3">
        <v>30</v>
      </c>
      <c r="N48" s="3">
        <v>18</v>
      </c>
      <c r="O48" s="3">
        <v>9</v>
      </c>
      <c r="P48" s="4">
        <v>3.5</v>
      </c>
      <c r="Q48" t="s">
        <v>28</v>
      </c>
      <c r="R48" t="s">
        <v>28</v>
      </c>
      <c r="S48" t="s">
        <v>34</v>
      </c>
      <c r="T48" s="2">
        <v>46203</v>
      </c>
      <c r="U48" s="4">
        <v>3.5</v>
      </c>
      <c r="V48" s="4">
        <v>3.6</v>
      </c>
      <c r="W48" t="str">
        <f t="shared" si="0"/>
        <v>March</v>
      </c>
      <c r="X48">
        <f t="shared" si="1"/>
        <v>1047</v>
      </c>
    </row>
    <row r="49" spans="1:24" x14ac:dyDescent="0.3">
      <c r="A49" t="s">
        <v>97</v>
      </c>
      <c r="B49" s="2">
        <v>44989</v>
      </c>
      <c r="C49" t="s">
        <v>54</v>
      </c>
      <c r="D49" t="s">
        <v>24</v>
      </c>
      <c r="E49" s="3">
        <v>48</v>
      </c>
      <c r="F49" t="s">
        <v>25</v>
      </c>
      <c r="G49" t="s">
        <v>51</v>
      </c>
      <c r="H49" t="s">
        <v>63</v>
      </c>
      <c r="I49" s="4">
        <v>25.3</v>
      </c>
      <c r="J49" s="5">
        <v>116500</v>
      </c>
      <c r="K49" s="5">
        <v>7200</v>
      </c>
      <c r="L49" s="4">
        <v>3.6</v>
      </c>
      <c r="M49" s="3">
        <v>17</v>
      </c>
      <c r="N49" s="3">
        <v>13</v>
      </c>
      <c r="O49" s="3">
        <v>24</v>
      </c>
      <c r="P49" s="4">
        <v>4.5</v>
      </c>
      <c r="Q49" t="s">
        <v>29</v>
      </c>
      <c r="R49" t="s">
        <v>28</v>
      </c>
      <c r="S49" t="s">
        <v>60</v>
      </c>
      <c r="T49" s="2">
        <v>45196</v>
      </c>
      <c r="U49" s="4">
        <v>3.4</v>
      </c>
      <c r="V49" s="4">
        <v>3.6</v>
      </c>
      <c r="W49" t="str">
        <f t="shared" si="0"/>
        <v>March</v>
      </c>
      <c r="X49">
        <f t="shared" si="1"/>
        <v>1048</v>
      </c>
    </row>
    <row r="50" spans="1:24" x14ac:dyDescent="0.3">
      <c r="A50" t="s">
        <v>98</v>
      </c>
      <c r="B50" s="2">
        <v>45167</v>
      </c>
      <c r="C50" t="s">
        <v>36</v>
      </c>
      <c r="D50" t="s">
        <v>41</v>
      </c>
      <c r="E50" s="3">
        <v>22</v>
      </c>
      <c r="F50" t="s">
        <v>57</v>
      </c>
      <c r="G50" t="s">
        <v>51</v>
      </c>
      <c r="H50" t="s">
        <v>52</v>
      </c>
      <c r="I50" s="4">
        <v>0</v>
      </c>
      <c r="J50" s="5">
        <v>35500</v>
      </c>
      <c r="K50" s="5">
        <v>3300</v>
      </c>
      <c r="L50" s="4">
        <v>4.2</v>
      </c>
      <c r="M50" s="3">
        <v>26</v>
      </c>
      <c r="N50" s="3">
        <v>7</v>
      </c>
      <c r="O50" s="3">
        <v>30</v>
      </c>
      <c r="P50" s="4">
        <v>3.4</v>
      </c>
      <c r="Q50" t="s">
        <v>28</v>
      </c>
      <c r="R50" t="s">
        <v>28</v>
      </c>
      <c r="S50" t="s">
        <v>43</v>
      </c>
      <c r="T50" s="2">
        <v>45841</v>
      </c>
      <c r="U50" s="4">
        <v>3.4</v>
      </c>
      <c r="V50" s="4">
        <v>3.8</v>
      </c>
      <c r="W50" t="str">
        <f t="shared" si="0"/>
        <v>August</v>
      </c>
      <c r="X50">
        <f t="shared" si="1"/>
        <v>1049</v>
      </c>
    </row>
    <row r="51" spans="1:24" x14ac:dyDescent="0.3">
      <c r="A51" t="s">
        <v>99</v>
      </c>
      <c r="B51" s="2">
        <v>45973</v>
      </c>
      <c r="C51" t="s">
        <v>54</v>
      </c>
      <c r="D51" t="s">
        <v>41</v>
      </c>
      <c r="E51" s="3">
        <v>38</v>
      </c>
      <c r="F51" t="s">
        <v>57</v>
      </c>
      <c r="G51" t="s">
        <v>51</v>
      </c>
      <c r="H51" t="s">
        <v>63</v>
      </c>
      <c r="I51" s="4">
        <v>12.4</v>
      </c>
      <c r="J51" s="5">
        <v>69300</v>
      </c>
      <c r="K51" s="5">
        <v>5000</v>
      </c>
      <c r="L51" s="4">
        <v>2.4</v>
      </c>
      <c r="M51" s="3">
        <v>8</v>
      </c>
      <c r="N51" s="3">
        <v>10</v>
      </c>
      <c r="O51" s="3">
        <v>24</v>
      </c>
      <c r="P51" s="4">
        <v>3.9</v>
      </c>
      <c r="Q51" t="s">
        <v>28</v>
      </c>
      <c r="R51" t="s">
        <v>28</v>
      </c>
      <c r="S51" t="s">
        <v>30</v>
      </c>
      <c r="T51" s="2">
        <v>46203</v>
      </c>
      <c r="U51" s="4">
        <v>4.8</v>
      </c>
      <c r="V51" s="4">
        <v>4.7</v>
      </c>
      <c r="W51" t="str">
        <f t="shared" si="0"/>
        <v>November</v>
      </c>
      <c r="X51">
        <f t="shared" si="1"/>
        <v>1050</v>
      </c>
    </row>
    <row r="52" spans="1:24" x14ac:dyDescent="0.3">
      <c r="A52" t="s">
        <v>100</v>
      </c>
      <c r="B52" s="2">
        <v>44974</v>
      </c>
      <c r="C52" t="s">
        <v>23</v>
      </c>
      <c r="D52" t="s">
        <v>24</v>
      </c>
      <c r="E52" s="3">
        <v>49</v>
      </c>
      <c r="F52" t="s">
        <v>57</v>
      </c>
      <c r="G52" t="s">
        <v>51</v>
      </c>
      <c r="H52" t="s">
        <v>46</v>
      </c>
      <c r="I52" s="4">
        <v>29.7</v>
      </c>
      <c r="J52" s="5">
        <v>129100</v>
      </c>
      <c r="K52" s="5">
        <v>15300</v>
      </c>
      <c r="L52" s="4">
        <v>2.8</v>
      </c>
      <c r="M52" s="3">
        <v>12</v>
      </c>
      <c r="N52" s="3">
        <v>9</v>
      </c>
      <c r="O52" s="3">
        <v>8</v>
      </c>
      <c r="P52" s="4">
        <v>5</v>
      </c>
      <c r="Q52" t="s">
        <v>28</v>
      </c>
      <c r="R52" t="s">
        <v>28</v>
      </c>
      <c r="S52" t="s">
        <v>30</v>
      </c>
      <c r="T52" s="2">
        <v>46044</v>
      </c>
      <c r="U52" s="4">
        <v>3.9</v>
      </c>
      <c r="V52" s="4">
        <v>4.5</v>
      </c>
      <c r="W52" t="str">
        <f t="shared" si="0"/>
        <v>February</v>
      </c>
      <c r="X52">
        <f t="shared" si="1"/>
        <v>1051</v>
      </c>
    </row>
    <row r="53" spans="1:24" x14ac:dyDescent="0.3">
      <c r="A53" t="s">
        <v>101</v>
      </c>
      <c r="B53" s="2">
        <v>45613</v>
      </c>
      <c r="C53" t="s">
        <v>36</v>
      </c>
      <c r="D53" t="s">
        <v>41</v>
      </c>
      <c r="E53" s="3">
        <v>23</v>
      </c>
      <c r="F53" t="s">
        <v>25</v>
      </c>
      <c r="G53" t="s">
        <v>33</v>
      </c>
      <c r="H53" t="s">
        <v>37</v>
      </c>
      <c r="I53" s="4">
        <v>0</v>
      </c>
      <c r="J53" s="5">
        <v>45800</v>
      </c>
      <c r="K53" s="5">
        <v>1100</v>
      </c>
      <c r="L53" s="4">
        <v>4</v>
      </c>
      <c r="M53" s="3">
        <v>10</v>
      </c>
      <c r="N53" s="3">
        <v>11</v>
      </c>
      <c r="O53" s="3">
        <v>8</v>
      </c>
      <c r="P53" s="4">
        <v>3.8</v>
      </c>
      <c r="Q53" t="s">
        <v>28</v>
      </c>
      <c r="R53" t="s">
        <v>28</v>
      </c>
      <c r="S53" t="s">
        <v>34</v>
      </c>
      <c r="T53" s="2">
        <v>46203</v>
      </c>
      <c r="U53" s="4">
        <v>3.2</v>
      </c>
      <c r="V53" s="4">
        <v>3.5</v>
      </c>
      <c r="W53" t="str">
        <f t="shared" si="0"/>
        <v>November</v>
      </c>
      <c r="X53">
        <f t="shared" si="1"/>
        <v>1052</v>
      </c>
    </row>
    <row r="54" spans="1:24" x14ac:dyDescent="0.3">
      <c r="A54" t="s">
        <v>102</v>
      </c>
      <c r="B54" s="2">
        <v>45981</v>
      </c>
      <c r="C54" t="s">
        <v>40</v>
      </c>
      <c r="D54" t="s">
        <v>41</v>
      </c>
      <c r="E54" s="3">
        <v>22</v>
      </c>
      <c r="F54" t="s">
        <v>50</v>
      </c>
      <c r="G54" t="s">
        <v>51</v>
      </c>
      <c r="H54" t="s">
        <v>37</v>
      </c>
      <c r="I54" s="4">
        <v>0</v>
      </c>
      <c r="J54" s="5">
        <v>40800</v>
      </c>
      <c r="K54" s="5">
        <v>1400</v>
      </c>
      <c r="L54" s="4">
        <v>3.9</v>
      </c>
      <c r="M54" s="3">
        <v>8</v>
      </c>
      <c r="N54" s="3">
        <v>17</v>
      </c>
      <c r="O54" s="3">
        <v>24</v>
      </c>
      <c r="P54" s="4">
        <v>3.2</v>
      </c>
      <c r="Q54" t="s">
        <v>28</v>
      </c>
      <c r="R54" t="s">
        <v>28</v>
      </c>
      <c r="S54" t="s">
        <v>34</v>
      </c>
      <c r="T54" s="2">
        <v>46203</v>
      </c>
      <c r="U54" s="4">
        <v>3</v>
      </c>
      <c r="V54" s="4">
        <v>3.4</v>
      </c>
      <c r="W54" t="str">
        <f t="shared" si="0"/>
        <v>November</v>
      </c>
      <c r="X54">
        <f t="shared" si="1"/>
        <v>1053</v>
      </c>
    </row>
    <row r="55" spans="1:24" x14ac:dyDescent="0.3">
      <c r="A55" t="s">
        <v>103</v>
      </c>
      <c r="B55" s="2">
        <v>45922</v>
      </c>
      <c r="C55" t="s">
        <v>40</v>
      </c>
      <c r="D55" t="s">
        <v>24</v>
      </c>
      <c r="E55" s="3">
        <v>58</v>
      </c>
      <c r="F55" t="s">
        <v>57</v>
      </c>
      <c r="G55" t="s">
        <v>42</v>
      </c>
      <c r="H55" t="s">
        <v>37</v>
      </c>
      <c r="I55" s="4">
        <v>35</v>
      </c>
      <c r="J55" s="5">
        <v>196000</v>
      </c>
      <c r="K55" s="5">
        <v>8900</v>
      </c>
      <c r="L55" s="4">
        <v>3.8</v>
      </c>
      <c r="M55" s="3">
        <v>34</v>
      </c>
      <c r="N55" s="3">
        <v>12</v>
      </c>
      <c r="O55" s="3">
        <v>20</v>
      </c>
      <c r="P55" s="4">
        <v>3.6</v>
      </c>
      <c r="Q55" t="s">
        <v>28</v>
      </c>
      <c r="R55" t="s">
        <v>28</v>
      </c>
      <c r="S55" t="s">
        <v>43</v>
      </c>
      <c r="T55" s="2">
        <v>46166</v>
      </c>
      <c r="U55" s="4">
        <v>3.8</v>
      </c>
      <c r="V55" s="4">
        <v>3.9</v>
      </c>
      <c r="W55" t="str">
        <f t="shared" si="0"/>
        <v>September</v>
      </c>
      <c r="X55">
        <f t="shared" si="1"/>
        <v>1054</v>
      </c>
    </row>
    <row r="56" spans="1:24" x14ac:dyDescent="0.3">
      <c r="A56" t="s">
        <v>104</v>
      </c>
      <c r="B56" s="2">
        <v>44925</v>
      </c>
      <c r="C56" t="s">
        <v>32</v>
      </c>
      <c r="D56" t="s">
        <v>24</v>
      </c>
      <c r="E56" s="3">
        <v>25</v>
      </c>
      <c r="F56" t="s">
        <v>25</v>
      </c>
      <c r="G56" t="s">
        <v>26</v>
      </c>
      <c r="H56" t="s">
        <v>37</v>
      </c>
      <c r="I56" s="4">
        <v>0</v>
      </c>
      <c r="J56" s="5">
        <v>37500</v>
      </c>
      <c r="K56" s="5">
        <v>1200</v>
      </c>
      <c r="L56" s="4">
        <v>2.5</v>
      </c>
      <c r="M56" s="3">
        <v>23</v>
      </c>
      <c r="N56" s="3">
        <v>12</v>
      </c>
      <c r="O56" s="3">
        <v>27</v>
      </c>
      <c r="P56" s="4">
        <v>3.9</v>
      </c>
      <c r="Q56" t="s">
        <v>28</v>
      </c>
      <c r="R56" t="s">
        <v>28</v>
      </c>
      <c r="S56" t="s">
        <v>43</v>
      </c>
      <c r="T56" s="2">
        <v>45814</v>
      </c>
      <c r="U56" s="4">
        <v>3.1</v>
      </c>
      <c r="V56" s="4">
        <v>3.1</v>
      </c>
      <c r="W56" t="str">
        <f t="shared" si="0"/>
        <v>December</v>
      </c>
      <c r="X56">
        <f t="shared" si="1"/>
        <v>1055</v>
      </c>
    </row>
    <row r="57" spans="1:24" x14ac:dyDescent="0.3">
      <c r="A57" t="s">
        <v>105</v>
      </c>
      <c r="B57" s="2">
        <v>45181</v>
      </c>
      <c r="C57" t="s">
        <v>36</v>
      </c>
      <c r="D57" t="s">
        <v>41</v>
      </c>
      <c r="E57" s="3">
        <v>29</v>
      </c>
      <c r="F57" t="s">
        <v>25</v>
      </c>
      <c r="G57" t="s">
        <v>26</v>
      </c>
      <c r="H57" t="s">
        <v>63</v>
      </c>
      <c r="I57" s="4">
        <v>5.3</v>
      </c>
      <c r="J57" s="5">
        <v>51800</v>
      </c>
      <c r="K57" s="5">
        <v>1400</v>
      </c>
      <c r="L57" s="4">
        <v>5</v>
      </c>
      <c r="M57" s="3">
        <v>32</v>
      </c>
      <c r="N57" s="3">
        <v>10</v>
      </c>
      <c r="O57" s="3">
        <v>4</v>
      </c>
      <c r="P57" s="4">
        <v>3.2</v>
      </c>
      <c r="Q57" t="s">
        <v>28</v>
      </c>
      <c r="R57" t="s">
        <v>29</v>
      </c>
      <c r="S57" t="s">
        <v>60</v>
      </c>
      <c r="T57" s="2">
        <v>46203</v>
      </c>
      <c r="U57" s="4">
        <v>3.3</v>
      </c>
      <c r="V57" s="4">
        <v>3.5</v>
      </c>
      <c r="W57" t="str">
        <f t="shared" si="0"/>
        <v>September</v>
      </c>
      <c r="X57">
        <f t="shared" si="1"/>
        <v>1056</v>
      </c>
    </row>
    <row r="58" spans="1:24" x14ac:dyDescent="0.3">
      <c r="A58" t="s">
        <v>106</v>
      </c>
      <c r="B58" s="2">
        <v>44467</v>
      </c>
      <c r="C58" t="s">
        <v>54</v>
      </c>
      <c r="D58" t="s">
        <v>41</v>
      </c>
      <c r="E58" s="3">
        <v>43</v>
      </c>
      <c r="F58" t="s">
        <v>25</v>
      </c>
      <c r="G58" t="s">
        <v>33</v>
      </c>
      <c r="H58" t="s">
        <v>37</v>
      </c>
      <c r="I58" s="4">
        <v>20</v>
      </c>
      <c r="J58" s="5">
        <v>121200</v>
      </c>
      <c r="K58" s="5">
        <v>3700</v>
      </c>
      <c r="L58" s="4">
        <v>5</v>
      </c>
      <c r="M58" s="3">
        <v>36</v>
      </c>
      <c r="N58" s="3">
        <v>8</v>
      </c>
      <c r="O58" s="3">
        <v>24</v>
      </c>
      <c r="P58" s="4">
        <v>4.8</v>
      </c>
      <c r="Q58" t="s">
        <v>28</v>
      </c>
      <c r="R58" t="s">
        <v>29</v>
      </c>
      <c r="S58" t="s">
        <v>38</v>
      </c>
      <c r="T58" s="2">
        <v>44719</v>
      </c>
      <c r="U58" s="4">
        <v>3.3</v>
      </c>
      <c r="V58" s="4">
        <v>3.4</v>
      </c>
      <c r="W58" t="str">
        <f t="shared" si="0"/>
        <v>September</v>
      </c>
      <c r="X58">
        <f t="shared" si="1"/>
        <v>1057</v>
      </c>
    </row>
    <row r="59" spans="1:24" x14ac:dyDescent="0.3">
      <c r="A59" t="s">
        <v>107</v>
      </c>
      <c r="B59" s="2">
        <v>44220</v>
      </c>
      <c r="C59" t="s">
        <v>54</v>
      </c>
      <c r="D59" t="s">
        <v>24</v>
      </c>
      <c r="E59" s="3">
        <v>42</v>
      </c>
      <c r="F59" t="s">
        <v>25</v>
      </c>
      <c r="G59" t="s">
        <v>26</v>
      </c>
      <c r="H59" t="s">
        <v>52</v>
      </c>
      <c r="I59" s="4">
        <v>20.2</v>
      </c>
      <c r="J59" s="5">
        <v>106100</v>
      </c>
      <c r="K59" s="5">
        <v>9100</v>
      </c>
      <c r="L59" s="4">
        <v>3.4</v>
      </c>
      <c r="M59" s="3">
        <v>30</v>
      </c>
      <c r="N59" s="3">
        <v>12</v>
      </c>
      <c r="O59" s="3">
        <v>3</v>
      </c>
      <c r="P59" s="4">
        <v>3.4</v>
      </c>
      <c r="Q59" t="s">
        <v>28</v>
      </c>
      <c r="R59" t="s">
        <v>28</v>
      </c>
      <c r="S59" t="s">
        <v>43</v>
      </c>
      <c r="T59" s="2">
        <v>44572</v>
      </c>
      <c r="U59" s="4">
        <v>4.2</v>
      </c>
      <c r="V59" s="4">
        <v>4.5</v>
      </c>
      <c r="W59" t="str">
        <f t="shared" si="0"/>
        <v>January</v>
      </c>
      <c r="X59">
        <f t="shared" si="1"/>
        <v>1058</v>
      </c>
    </row>
    <row r="60" spans="1:24" x14ac:dyDescent="0.3">
      <c r="A60" t="s">
        <v>108</v>
      </c>
      <c r="B60" s="2">
        <v>44845</v>
      </c>
      <c r="C60" t="s">
        <v>40</v>
      </c>
      <c r="D60" t="s">
        <v>24</v>
      </c>
      <c r="E60" s="3">
        <v>52</v>
      </c>
      <c r="F60" t="s">
        <v>25</v>
      </c>
      <c r="G60" t="s">
        <v>26</v>
      </c>
      <c r="H60" t="s">
        <v>55</v>
      </c>
      <c r="I60" s="4">
        <v>29</v>
      </c>
      <c r="J60" s="5">
        <v>139000</v>
      </c>
      <c r="K60" s="5">
        <v>14300</v>
      </c>
      <c r="L60" s="4">
        <v>2.4</v>
      </c>
      <c r="M60" s="3">
        <v>32</v>
      </c>
      <c r="N60" s="3">
        <v>13</v>
      </c>
      <c r="O60" s="3">
        <v>24</v>
      </c>
      <c r="P60" s="4">
        <v>3.4</v>
      </c>
      <c r="Q60" t="s">
        <v>28</v>
      </c>
      <c r="R60" t="s">
        <v>28</v>
      </c>
      <c r="S60" t="s">
        <v>30</v>
      </c>
      <c r="T60" s="2">
        <v>45846</v>
      </c>
      <c r="U60" s="4">
        <v>3.5</v>
      </c>
      <c r="V60" s="4">
        <v>3.8</v>
      </c>
      <c r="W60" t="str">
        <f t="shared" si="0"/>
        <v>October</v>
      </c>
      <c r="X60">
        <f t="shared" si="1"/>
        <v>1059</v>
      </c>
    </row>
    <row r="61" spans="1:24" x14ac:dyDescent="0.3">
      <c r="A61" t="s">
        <v>109</v>
      </c>
      <c r="B61" s="2">
        <v>45997</v>
      </c>
      <c r="C61" t="s">
        <v>48</v>
      </c>
      <c r="D61" t="s">
        <v>24</v>
      </c>
      <c r="E61" s="3">
        <v>30</v>
      </c>
      <c r="F61" t="s">
        <v>50</v>
      </c>
      <c r="G61" t="s">
        <v>26</v>
      </c>
      <c r="H61" t="s">
        <v>55</v>
      </c>
      <c r="I61" s="4">
        <v>4</v>
      </c>
      <c r="J61" s="5">
        <v>63300</v>
      </c>
      <c r="K61" s="5">
        <v>4800</v>
      </c>
      <c r="L61" s="4">
        <v>4.9000000000000004</v>
      </c>
      <c r="M61" s="3">
        <v>10</v>
      </c>
      <c r="N61" s="3">
        <v>20</v>
      </c>
      <c r="O61" s="3">
        <v>24</v>
      </c>
      <c r="P61" s="4">
        <v>4.5999999999999996</v>
      </c>
      <c r="Q61" t="s">
        <v>29</v>
      </c>
      <c r="R61" t="s">
        <v>29</v>
      </c>
      <c r="S61" t="s">
        <v>34</v>
      </c>
      <c r="T61" s="2">
        <v>46203</v>
      </c>
      <c r="U61" s="4">
        <v>2.5</v>
      </c>
      <c r="V61" s="4">
        <v>3.5</v>
      </c>
      <c r="W61" t="str">
        <f t="shared" si="0"/>
        <v>December</v>
      </c>
      <c r="X61">
        <f t="shared" si="1"/>
        <v>1060</v>
      </c>
    </row>
    <row r="62" spans="1:24" x14ac:dyDescent="0.3">
      <c r="A62" t="s">
        <v>110</v>
      </c>
      <c r="B62" s="2">
        <v>45215</v>
      </c>
      <c r="C62" t="s">
        <v>54</v>
      </c>
      <c r="D62" t="s">
        <v>41</v>
      </c>
      <c r="E62" s="3">
        <v>56</v>
      </c>
      <c r="F62" t="s">
        <v>57</v>
      </c>
      <c r="G62" t="s">
        <v>33</v>
      </c>
      <c r="H62" t="s">
        <v>46</v>
      </c>
      <c r="I62" s="4">
        <v>32.799999999999997</v>
      </c>
      <c r="J62" s="5">
        <v>164100</v>
      </c>
      <c r="K62" s="5">
        <v>15300</v>
      </c>
      <c r="L62" s="4">
        <v>4.0999999999999996</v>
      </c>
      <c r="M62" s="3">
        <v>34</v>
      </c>
      <c r="N62" s="3">
        <v>12</v>
      </c>
      <c r="O62" s="3">
        <v>12</v>
      </c>
      <c r="P62" s="4">
        <v>3.8</v>
      </c>
      <c r="Q62" t="s">
        <v>28</v>
      </c>
      <c r="R62" t="s">
        <v>29</v>
      </c>
      <c r="S62" t="s">
        <v>30</v>
      </c>
      <c r="T62" s="2">
        <v>45937</v>
      </c>
      <c r="U62" s="4">
        <v>4.4000000000000004</v>
      </c>
      <c r="V62" s="4">
        <v>3.9</v>
      </c>
      <c r="W62" t="str">
        <f t="shared" si="0"/>
        <v>October</v>
      </c>
      <c r="X62">
        <f t="shared" si="1"/>
        <v>1061</v>
      </c>
    </row>
    <row r="63" spans="1:24" x14ac:dyDescent="0.3">
      <c r="A63" t="s">
        <v>111</v>
      </c>
      <c r="B63" s="2">
        <v>45370</v>
      </c>
      <c r="C63" t="s">
        <v>36</v>
      </c>
      <c r="D63" t="s">
        <v>24</v>
      </c>
      <c r="E63" s="3">
        <v>54</v>
      </c>
      <c r="F63" t="s">
        <v>25</v>
      </c>
      <c r="G63" t="s">
        <v>51</v>
      </c>
      <c r="H63" t="s">
        <v>52</v>
      </c>
      <c r="I63" s="4">
        <v>27.2</v>
      </c>
      <c r="J63" s="5">
        <v>131800</v>
      </c>
      <c r="K63" s="5">
        <v>9600</v>
      </c>
      <c r="L63" s="4">
        <v>4.4000000000000004</v>
      </c>
      <c r="M63" s="3">
        <v>25</v>
      </c>
      <c r="N63" s="3">
        <v>17</v>
      </c>
      <c r="O63" s="3">
        <v>1</v>
      </c>
      <c r="P63" s="4">
        <v>2.2999999999999998</v>
      </c>
      <c r="Q63" t="s">
        <v>28</v>
      </c>
      <c r="R63" t="s">
        <v>29</v>
      </c>
      <c r="S63" t="s">
        <v>60</v>
      </c>
      <c r="T63" s="2">
        <v>46020</v>
      </c>
      <c r="U63" s="4">
        <v>2.8</v>
      </c>
      <c r="V63" s="4">
        <v>3.5</v>
      </c>
      <c r="W63" t="str">
        <f t="shared" si="0"/>
        <v>March</v>
      </c>
      <c r="X63">
        <f t="shared" si="1"/>
        <v>1062</v>
      </c>
    </row>
    <row r="64" spans="1:24" x14ac:dyDescent="0.3">
      <c r="A64" t="s">
        <v>112</v>
      </c>
      <c r="B64" s="2">
        <v>44397</v>
      </c>
      <c r="C64" t="s">
        <v>32</v>
      </c>
      <c r="D64" t="s">
        <v>41</v>
      </c>
      <c r="E64" s="3">
        <v>45</v>
      </c>
      <c r="F64" t="s">
        <v>25</v>
      </c>
      <c r="G64" t="s">
        <v>33</v>
      </c>
      <c r="H64" t="s">
        <v>46</v>
      </c>
      <c r="I64" s="4">
        <v>21.6</v>
      </c>
      <c r="J64" s="5">
        <v>127000</v>
      </c>
      <c r="K64" s="5">
        <v>11400</v>
      </c>
      <c r="L64" s="4">
        <v>3.8</v>
      </c>
      <c r="M64" s="3">
        <v>22</v>
      </c>
      <c r="N64" s="3">
        <v>8</v>
      </c>
      <c r="O64" s="3">
        <v>13</v>
      </c>
      <c r="P64" s="4">
        <v>3.8</v>
      </c>
      <c r="Q64" t="s">
        <v>28</v>
      </c>
      <c r="R64" t="s">
        <v>28</v>
      </c>
      <c r="S64" t="s">
        <v>34</v>
      </c>
      <c r="T64" s="2">
        <v>45540</v>
      </c>
      <c r="U64" s="4">
        <v>3.6</v>
      </c>
      <c r="V64" s="4">
        <v>3.6</v>
      </c>
      <c r="W64" t="str">
        <f t="shared" si="0"/>
        <v>July</v>
      </c>
      <c r="X64">
        <f t="shared" si="1"/>
        <v>1063</v>
      </c>
    </row>
    <row r="65" spans="1:24" x14ac:dyDescent="0.3">
      <c r="A65" t="s">
        <v>113</v>
      </c>
      <c r="B65" s="2">
        <v>45220</v>
      </c>
      <c r="C65" t="s">
        <v>48</v>
      </c>
      <c r="D65" t="s">
        <v>24</v>
      </c>
      <c r="E65" s="3">
        <v>50</v>
      </c>
      <c r="F65" t="s">
        <v>50</v>
      </c>
      <c r="G65" t="s">
        <v>51</v>
      </c>
      <c r="H65" t="s">
        <v>46</v>
      </c>
      <c r="I65" s="4">
        <v>31.1</v>
      </c>
      <c r="J65" s="5">
        <v>135500</v>
      </c>
      <c r="K65" s="5">
        <v>15000</v>
      </c>
      <c r="L65" s="4">
        <v>3.5</v>
      </c>
      <c r="M65" s="3">
        <v>27</v>
      </c>
      <c r="N65" s="3">
        <v>13</v>
      </c>
      <c r="O65" s="3">
        <v>10</v>
      </c>
      <c r="P65" s="4">
        <v>4.0999999999999996</v>
      </c>
      <c r="Q65" t="s">
        <v>28</v>
      </c>
      <c r="R65" t="s">
        <v>28</v>
      </c>
      <c r="S65" t="s">
        <v>34</v>
      </c>
      <c r="T65" s="2">
        <v>45538</v>
      </c>
      <c r="U65" s="4">
        <v>4.0999999999999996</v>
      </c>
      <c r="V65" s="4">
        <v>4.9000000000000004</v>
      </c>
      <c r="W65" t="str">
        <f t="shared" si="0"/>
        <v>October</v>
      </c>
      <c r="X65">
        <f t="shared" si="1"/>
        <v>1064</v>
      </c>
    </row>
    <row r="66" spans="1:24" x14ac:dyDescent="0.3">
      <c r="A66" t="s">
        <v>114</v>
      </c>
      <c r="B66" s="2">
        <v>44214</v>
      </c>
      <c r="C66" t="s">
        <v>40</v>
      </c>
      <c r="D66" t="s">
        <v>41</v>
      </c>
      <c r="E66" s="3">
        <v>29</v>
      </c>
      <c r="F66" t="s">
        <v>25</v>
      </c>
      <c r="G66" t="s">
        <v>26</v>
      </c>
      <c r="H66" t="s">
        <v>55</v>
      </c>
      <c r="I66" s="4">
        <v>5.5</v>
      </c>
      <c r="J66" s="5">
        <v>44000</v>
      </c>
      <c r="K66" s="5">
        <v>5300</v>
      </c>
      <c r="L66" s="4">
        <v>3</v>
      </c>
      <c r="M66" s="3">
        <v>16</v>
      </c>
      <c r="N66" s="3">
        <v>9</v>
      </c>
      <c r="O66" s="3">
        <v>8</v>
      </c>
      <c r="P66" s="4">
        <v>3.7</v>
      </c>
      <c r="Q66" t="s">
        <v>28</v>
      </c>
      <c r="R66" t="s">
        <v>28</v>
      </c>
      <c r="S66" t="s">
        <v>34</v>
      </c>
      <c r="T66" s="2">
        <v>45226</v>
      </c>
      <c r="U66" s="4">
        <v>3.3</v>
      </c>
      <c r="V66" s="4">
        <v>3.8</v>
      </c>
      <c r="W66" t="str">
        <f t="shared" ref="W66:W129" si="2">TEXT(B66,"mmmm")</f>
        <v>January</v>
      </c>
      <c r="X66">
        <f t="shared" ref="X66:X129" si="3">VALUE(RIGHT(A66,LEN(A66)-3))</f>
        <v>1065</v>
      </c>
    </row>
    <row r="67" spans="1:24" x14ac:dyDescent="0.3">
      <c r="A67" t="s">
        <v>115</v>
      </c>
      <c r="B67" s="2">
        <v>44918</v>
      </c>
      <c r="C67" t="s">
        <v>48</v>
      </c>
      <c r="D67" t="s">
        <v>24</v>
      </c>
      <c r="E67" s="3">
        <v>33</v>
      </c>
      <c r="F67" t="s">
        <v>25</v>
      </c>
      <c r="G67" t="s">
        <v>26</v>
      </c>
      <c r="H67" t="s">
        <v>52</v>
      </c>
      <c r="I67" s="4">
        <v>11</v>
      </c>
      <c r="J67" s="5">
        <v>75700</v>
      </c>
      <c r="K67" s="5">
        <v>3800</v>
      </c>
      <c r="L67" s="4">
        <v>3.5</v>
      </c>
      <c r="M67" s="3">
        <v>11</v>
      </c>
      <c r="N67" s="3">
        <v>13</v>
      </c>
      <c r="O67" s="3">
        <v>5</v>
      </c>
      <c r="P67" s="4">
        <v>3</v>
      </c>
      <c r="Q67" t="s">
        <v>28</v>
      </c>
      <c r="R67" t="s">
        <v>28</v>
      </c>
      <c r="S67" t="s">
        <v>60</v>
      </c>
      <c r="T67" s="2">
        <v>45506</v>
      </c>
      <c r="U67" s="4">
        <v>3.6</v>
      </c>
      <c r="V67" s="4">
        <v>3.6</v>
      </c>
      <c r="W67" t="str">
        <f t="shared" si="2"/>
        <v>December</v>
      </c>
      <c r="X67">
        <f t="shared" si="3"/>
        <v>1066</v>
      </c>
    </row>
    <row r="68" spans="1:24" x14ac:dyDescent="0.3">
      <c r="A68" t="s">
        <v>116</v>
      </c>
      <c r="B68" s="2">
        <v>44762</v>
      </c>
      <c r="C68" t="s">
        <v>36</v>
      </c>
      <c r="D68" t="s">
        <v>24</v>
      </c>
      <c r="E68" s="3">
        <v>59</v>
      </c>
      <c r="F68" t="s">
        <v>25</v>
      </c>
      <c r="G68" t="s">
        <v>26</v>
      </c>
      <c r="H68" t="s">
        <v>37</v>
      </c>
      <c r="I68" s="4">
        <v>35</v>
      </c>
      <c r="J68" s="5">
        <v>162500</v>
      </c>
      <c r="K68" s="5">
        <v>17600</v>
      </c>
      <c r="L68" s="4">
        <v>3</v>
      </c>
      <c r="M68" s="3">
        <v>29</v>
      </c>
      <c r="N68" s="3">
        <v>15</v>
      </c>
      <c r="O68" s="3">
        <v>23</v>
      </c>
      <c r="P68" s="4">
        <v>3.7</v>
      </c>
      <c r="Q68" t="s">
        <v>28</v>
      </c>
      <c r="R68" t="s">
        <v>28</v>
      </c>
      <c r="S68" t="s">
        <v>38</v>
      </c>
      <c r="T68" s="2">
        <v>45112</v>
      </c>
      <c r="U68" s="4">
        <v>4.5999999999999996</v>
      </c>
      <c r="V68" s="4">
        <v>4.9000000000000004</v>
      </c>
      <c r="W68" t="str">
        <f t="shared" si="2"/>
        <v>July</v>
      </c>
      <c r="X68">
        <f t="shared" si="3"/>
        <v>1067</v>
      </c>
    </row>
    <row r="69" spans="1:24" x14ac:dyDescent="0.3">
      <c r="A69" t="s">
        <v>117</v>
      </c>
      <c r="B69" s="2">
        <v>45142</v>
      </c>
      <c r="C69" t="s">
        <v>48</v>
      </c>
      <c r="D69" t="s">
        <v>41</v>
      </c>
      <c r="E69" s="3">
        <v>21</v>
      </c>
      <c r="F69" t="s">
        <v>57</v>
      </c>
      <c r="G69" t="s">
        <v>26</v>
      </c>
      <c r="H69" t="s">
        <v>37</v>
      </c>
      <c r="I69" s="4">
        <v>0</v>
      </c>
      <c r="J69" s="5">
        <v>35000</v>
      </c>
      <c r="K69" s="5">
        <v>3300</v>
      </c>
      <c r="L69" s="4">
        <v>4.4000000000000004</v>
      </c>
      <c r="M69" s="3">
        <v>23</v>
      </c>
      <c r="N69" s="3">
        <v>13</v>
      </c>
      <c r="O69" s="3">
        <v>3</v>
      </c>
      <c r="P69" s="4">
        <v>4.2</v>
      </c>
      <c r="Q69" t="s">
        <v>28</v>
      </c>
      <c r="R69" t="s">
        <v>28</v>
      </c>
      <c r="S69" t="s">
        <v>34</v>
      </c>
      <c r="T69" s="2">
        <v>45690</v>
      </c>
      <c r="U69" s="4">
        <v>2.5</v>
      </c>
      <c r="V69" s="4">
        <v>2.9</v>
      </c>
      <c r="W69" t="str">
        <f t="shared" si="2"/>
        <v>August</v>
      </c>
      <c r="X69">
        <f t="shared" si="3"/>
        <v>1068</v>
      </c>
    </row>
    <row r="70" spans="1:24" x14ac:dyDescent="0.3">
      <c r="A70" t="s">
        <v>118</v>
      </c>
      <c r="B70" s="2">
        <v>44525</v>
      </c>
      <c r="C70" t="s">
        <v>23</v>
      </c>
      <c r="D70" t="s">
        <v>24</v>
      </c>
      <c r="E70" s="3">
        <v>37</v>
      </c>
      <c r="F70" t="s">
        <v>57</v>
      </c>
      <c r="G70" t="s">
        <v>51</v>
      </c>
      <c r="H70" t="s">
        <v>63</v>
      </c>
      <c r="I70" s="4">
        <v>16.600000000000001</v>
      </c>
      <c r="J70" s="5">
        <v>82800</v>
      </c>
      <c r="K70" s="5">
        <v>4100</v>
      </c>
      <c r="L70" s="4">
        <v>4.0999999999999996</v>
      </c>
      <c r="M70" s="3">
        <v>26</v>
      </c>
      <c r="N70" s="3">
        <v>15</v>
      </c>
      <c r="O70" s="3">
        <v>26</v>
      </c>
      <c r="P70" s="4">
        <v>3.8</v>
      </c>
      <c r="Q70" t="s">
        <v>28</v>
      </c>
      <c r="R70" t="s">
        <v>29</v>
      </c>
      <c r="S70" t="s">
        <v>43</v>
      </c>
      <c r="T70" s="2">
        <v>45469</v>
      </c>
      <c r="U70" s="4">
        <v>3.5</v>
      </c>
      <c r="V70" s="4">
        <v>3.5</v>
      </c>
      <c r="W70" t="str">
        <f t="shared" si="2"/>
        <v>November</v>
      </c>
      <c r="X70">
        <f t="shared" si="3"/>
        <v>1069</v>
      </c>
    </row>
    <row r="71" spans="1:24" x14ac:dyDescent="0.3">
      <c r="A71" t="s">
        <v>119</v>
      </c>
      <c r="B71" s="2">
        <v>44960</v>
      </c>
      <c r="C71" t="s">
        <v>32</v>
      </c>
      <c r="D71" t="s">
        <v>24</v>
      </c>
      <c r="E71" s="3">
        <v>22</v>
      </c>
      <c r="F71" t="s">
        <v>25</v>
      </c>
      <c r="G71" t="s">
        <v>26</v>
      </c>
      <c r="H71" t="s">
        <v>46</v>
      </c>
      <c r="I71" s="4">
        <v>0</v>
      </c>
      <c r="J71" s="5">
        <v>45700</v>
      </c>
      <c r="K71" s="5">
        <v>1300</v>
      </c>
      <c r="L71" s="4">
        <v>4</v>
      </c>
      <c r="M71" s="3">
        <v>15</v>
      </c>
      <c r="N71" s="3">
        <v>9</v>
      </c>
      <c r="O71" s="3">
        <v>30</v>
      </c>
      <c r="P71" s="4">
        <v>4.5</v>
      </c>
      <c r="Q71" t="s">
        <v>29</v>
      </c>
      <c r="R71" t="s">
        <v>28</v>
      </c>
      <c r="S71" t="s">
        <v>60</v>
      </c>
      <c r="T71" s="2">
        <v>46185</v>
      </c>
      <c r="U71" s="4">
        <v>4.5</v>
      </c>
      <c r="V71" s="4">
        <v>5</v>
      </c>
      <c r="W71" t="str">
        <f t="shared" si="2"/>
        <v>February</v>
      </c>
      <c r="X71">
        <f t="shared" si="3"/>
        <v>1070</v>
      </c>
    </row>
    <row r="72" spans="1:24" x14ac:dyDescent="0.3">
      <c r="A72" t="s">
        <v>120</v>
      </c>
      <c r="B72" s="2">
        <v>44265</v>
      </c>
      <c r="C72" t="s">
        <v>36</v>
      </c>
      <c r="D72" t="s">
        <v>24</v>
      </c>
      <c r="E72" s="3">
        <v>54</v>
      </c>
      <c r="F72" t="s">
        <v>25</v>
      </c>
      <c r="G72" t="s">
        <v>26</v>
      </c>
      <c r="H72" t="s">
        <v>52</v>
      </c>
      <c r="I72" s="4">
        <v>34.1</v>
      </c>
      <c r="J72" s="5">
        <v>158400</v>
      </c>
      <c r="K72" s="5">
        <v>13200</v>
      </c>
      <c r="L72" s="4">
        <v>3</v>
      </c>
      <c r="M72" s="3">
        <v>33</v>
      </c>
      <c r="N72" s="3">
        <v>6</v>
      </c>
      <c r="O72" s="3">
        <v>15</v>
      </c>
      <c r="P72" s="4">
        <v>3.3</v>
      </c>
      <c r="Q72" t="s">
        <v>28</v>
      </c>
      <c r="R72" t="s">
        <v>28</v>
      </c>
      <c r="S72" t="s">
        <v>34</v>
      </c>
      <c r="T72" s="2">
        <v>45326</v>
      </c>
      <c r="U72" s="4">
        <v>3.7</v>
      </c>
      <c r="V72" s="4">
        <v>4.2</v>
      </c>
      <c r="W72" t="str">
        <f t="shared" si="2"/>
        <v>March</v>
      </c>
      <c r="X72">
        <f t="shared" si="3"/>
        <v>1071</v>
      </c>
    </row>
    <row r="73" spans="1:24" x14ac:dyDescent="0.3">
      <c r="A73" t="s">
        <v>121</v>
      </c>
      <c r="B73" s="2">
        <v>45105</v>
      </c>
      <c r="C73" t="s">
        <v>54</v>
      </c>
      <c r="D73" t="s">
        <v>41</v>
      </c>
      <c r="E73" s="3">
        <v>58</v>
      </c>
      <c r="F73" t="s">
        <v>25</v>
      </c>
      <c r="G73" t="s">
        <v>33</v>
      </c>
      <c r="H73" t="s">
        <v>37</v>
      </c>
      <c r="I73" s="4">
        <v>35</v>
      </c>
      <c r="J73" s="5">
        <v>167400</v>
      </c>
      <c r="K73" s="5">
        <v>6400</v>
      </c>
      <c r="L73" s="4">
        <v>4.5999999999999996</v>
      </c>
      <c r="M73" s="3">
        <v>14</v>
      </c>
      <c r="N73" s="3">
        <v>17</v>
      </c>
      <c r="O73" s="3">
        <v>18</v>
      </c>
      <c r="P73" s="4">
        <v>4</v>
      </c>
      <c r="Q73" t="s">
        <v>28</v>
      </c>
      <c r="R73" t="s">
        <v>29</v>
      </c>
      <c r="S73" t="s">
        <v>30</v>
      </c>
      <c r="T73" s="2">
        <v>45333</v>
      </c>
      <c r="U73" s="4">
        <v>3.5</v>
      </c>
      <c r="V73" s="4">
        <v>4.0999999999999996</v>
      </c>
      <c r="W73" t="str">
        <f t="shared" si="2"/>
        <v>June</v>
      </c>
      <c r="X73">
        <f t="shared" si="3"/>
        <v>1072</v>
      </c>
    </row>
    <row r="74" spans="1:24" x14ac:dyDescent="0.3">
      <c r="A74" t="s">
        <v>122</v>
      </c>
      <c r="B74" s="2">
        <v>45125</v>
      </c>
      <c r="C74" t="s">
        <v>23</v>
      </c>
      <c r="D74" t="s">
        <v>24</v>
      </c>
      <c r="E74" s="3">
        <v>21</v>
      </c>
      <c r="F74" t="s">
        <v>50</v>
      </c>
      <c r="G74" t="s">
        <v>26</v>
      </c>
      <c r="H74" t="s">
        <v>63</v>
      </c>
      <c r="I74" s="4">
        <v>0</v>
      </c>
      <c r="J74" s="5">
        <v>36900</v>
      </c>
      <c r="K74" s="5">
        <v>3000</v>
      </c>
      <c r="L74" s="4">
        <v>3.1</v>
      </c>
      <c r="M74" s="3">
        <v>38</v>
      </c>
      <c r="N74" s="3">
        <v>11</v>
      </c>
      <c r="O74" s="3">
        <v>13</v>
      </c>
      <c r="P74" s="4">
        <v>2.2999999999999998</v>
      </c>
      <c r="Q74" t="s">
        <v>29</v>
      </c>
      <c r="R74" t="s">
        <v>28</v>
      </c>
      <c r="S74" t="s">
        <v>38</v>
      </c>
      <c r="T74" s="2">
        <v>46101</v>
      </c>
      <c r="U74" s="4">
        <v>3</v>
      </c>
      <c r="V74" s="4">
        <v>3.2</v>
      </c>
      <c r="W74" t="str">
        <f t="shared" si="2"/>
        <v>July</v>
      </c>
      <c r="X74">
        <f t="shared" si="3"/>
        <v>1073</v>
      </c>
    </row>
    <row r="75" spans="1:24" x14ac:dyDescent="0.3">
      <c r="A75" t="s">
        <v>123</v>
      </c>
      <c r="B75" s="2">
        <v>45449</v>
      </c>
      <c r="C75" t="s">
        <v>48</v>
      </c>
      <c r="D75" t="s">
        <v>41</v>
      </c>
      <c r="E75" s="3">
        <v>43</v>
      </c>
      <c r="F75" t="s">
        <v>57</v>
      </c>
      <c r="G75" t="s">
        <v>33</v>
      </c>
      <c r="H75" t="s">
        <v>55</v>
      </c>
      <c r="I75" s="4">
        <v>15.2</v>
      </c>
      <c r="J75" s="5">
        <v>87800</v>
      </c>
      <c r="K75" s="5">
        <v>9400</v>
      </c>
      <c r="L75" s="4">
        <v>3.8</v>
      </c>
      <c r="M75" s="3">
        <v>26</v>
      </c>
      <c r="N75" s="3">
        <v>14</v>
      </c>
      <c r="O75" s="3">
        <v>21</v>
      </c>
      <c r="P75" s="4">
        <v>3.8</v>
      </c>
      <c r="Q75" t="s">
        <v>28</v>
      </c>
      <c r="R75" t="s">
        <v>28</v>
      </c>
      <c r="S75" t="s">
        <v>34</v>
      </c>
      <c r="T75" s="2">
        <v>45693</v>
      </c>
      <c r="U75" s="4">
        <v>2.9</v>
      </c>
      <c r="V75" s="4">
        <v>2.8</v>
      </c>
      <c r="W75" t="str">
        <f t="shared" si="2"/>
        <v>June</v>
      </c>
      <c r="X75">
        <f t="shared" si="3"/>
        <v>1074</v>
      </c>
    </row>
    <row r="76" spans="1:24" x14ac:dyDescent="0.3">
      <c r="A76" t="s">
        <v>124</v>
      </c>
      <c r="B76" s="2">
        <v>45673</v>
      </c>
      <c r="C76" t="s">
        <v>36</v>
      </c>
      <c r="D76" t="s">
        <v>24</v>
      </c>
      <c r="E76" s="3">
        <v>38</v>
      </c>
      <c r="F76" t="s">
        <v>25</v>
      </c>
      <c r="G76" t="s">
        <v>26</v>
      </c>
      <c r="H76" t="s">
        <v>27</v>
      </c>
      <c r="I76" s="4">
        <v>13.6</v>
      </c>
      <c r="J76" s="5">
        <v>85900</v>
      </c>
      <c r="K76" s="5">
        <v>2700</v>
      </c>
      <c r="L76" s="4">
        <v>4.5</v>
      </c>
      <c r="M76" s="3">
        <v>24</v>
      </c>
      <c r="N76" s="3">
        <v>13</v>
      </c>
      <c r="O76" s="3">
        <v>16</v>
      </c>
      <c r="P76" s="4">
        <v>2.8</v>
      </c>
      <c r="Q76" t="s">
        <v>28</v>
      </c>
      <c r="R76" t="s">
        <v>29</v>
      </c>
      <c r="S76" t="s">
        <v>43</v>
      </c>
      <c r="T76" s="2">
        <v>46203</v>
      </c>
      <c r="U76" s="4">
        <v>3.2</v>
      </c>
      <c r="V76" s="4">
        <v>3.2</v>
      </c>
      <c r="W76" t="str">
        <f t="shared" si="2"/>
        <v>January</v>
      </c>
      <c r="X76">
        <f t="shared" si="3"/>
        <v>1075</v>
      </c>
    </row>
    <row r="77" spans="1:24" x14ac:dyDescent="0.3">
      <c r="A77" t="s">
        <v>125</v>
      </c>
      <c r="B77" s="2">
        <v>45045</v>
      </c>
      <c r="C77" t="s">
        <v>54</v>
      </c>
      <c r="D77" t="s">
        <v>41</v>
      </c>
      <c r="E77" s="3">
        <v>32</v>
      </c>
      <c r="F77" t="s">
        <v>25</v>
      </c>
      <c r="G77" t="s">
        <v>26</v>
      </c>
      <c r="H77" t="s">
        <v>63</v>
      </c>
      <c r="I77" s="4">
        <v>2</v>
      </c>
      <c r="J77" s="5">
        <v>45500</v>
      </c>
      <c r="K77" s="5">
        <v>1700</v>
      </c>
      <c r="L77" s="4">
        <v>3.5</v>
      </c>
      <c r="M77" s="3">
        <v>26</v>
      </c>
      <c r="N77" s="3">
        <v>13</v>
      </c>
      <c r="O77" s="3">
        <v>30</v>
      </c>
      <c r="P77" s="4">
        <v>4.5</v>
      </c>
      <c r="Q77" t="s">
        <v>28</v>
      </c>
      <c r="R77" t="s">
        <v>28</v>
      </c>
      <c r="S77" t="s">
        <v>60</v>
      </c>
      <c r="T77" s="2">
        <v>45279</v>
      </c>
      <c r="U77" s="4">
        <v>3.8</v>
      </c>
      <c r="V77" s="4">
        <v>4.0999999999999996</v>
      </c>
      <c r="W77" t="str">
        <f t="shared" si="2"/>
        <v>April</v>
      </c>
      <c r="X77">
        <f t="shared" si="3"/>
        <v>1076</v>
      </c>
    </row>
    <row r="78" spans="1:24" x14ac:dyDescent="0.3">
      <c r="A78" t="s">
        <v>126</v>
      </c>
      <c r="B78" s="2">
        <v>45299</v>
      </c>
      <c r="C78" t="s">
        <v>54</v>
      </c>
      <c r="D78" t="s">
        <v>24</v>
      </c>
      <c r="E78" s="3">
        <v>29</v>
      </c>
      <c r="F78" t="s">
        <v>25</v>
      </c>
      <c r="G78" t="s">
        <v>26</v>
      </c>
      <c r="H78" t="s">
        <v>55</v>
      </c>
      <c r="I78" s="4">
        <v>3</v>
      </c>
      <c r="J78" s="5">
        <v>53400</v>
      </c>
      <c r="K78" s="5">
        <v>3000</v>
      </c>
      <c r="L78" s="4">
        <v>4.7</v>
      </c>
      <c r="M78" s="3">
        <v>18</v>
      </c>
      <c r="N78" s="3">
        <v>19</v>
      </c>
      <c r="O78" s="3">
        <v>20</v>
      </c>
      <c r="P78" s="4">
        <v>3.8</v>
      </c>
      <c r="Q78" t="s">
        <v>28</v>
      </c>
      <c r="R78" t="s">
        <v>29</v>
      </c>
      <c r="S78" t="s">
        <v>60</v>
      </c>
      <c r="T78" s="2">
        <v>46018</v>
      </c>
      <c r="U78" s="4">
        <v>3.6</v>
      </c>
      <c r="V78" s="4">
        <v>3.8</v>
      </c>
      <c r="W78" t="str">
        <f t="shared" si="2"/>
        <v>January</v>
      </c>
      <c r="X78">
        <f t="shared" si="3"/>
        <v>1077</v>
      </c>
    </row>
    <row r="79" spans="1:24" x14ac:dyDescent="0.3">
      <c r="A79" t="s">
        <v>127</v>
      </c>
      <c r="B79" s="2">
        <v>45465</v>
      </c>
      <c r="C79" t="s">
        <v>36</v>
      </c>
      <c r="D79" t="s">
        <v>24</v>
      </c>
      <c r="E79" s="3">
        <v>31</v>
      </c>
      <c r="F79" t="s">
        <v>25</v>
      </c>
      <c r="G79" t="s">
        <v>33</v>
      </c>
      <c r="H79" t="s">
        <v>52</v>
      </c>
      <c r="I79" s="4">
        <v>13.6</v>
      </c>
      <c r="J79" s="5">
        <v>98300</v>
      </c>
      <c r="K79" s="5">
        <v>8000</v>
      </c>
      <c r="L79" s="4">
        <v>4.2</v>
      </c>
      <c r="M79" s="3">
        <v>18</v>
      </c>
      <c r="N79" s="3">
        <v>17</v>
      </c>
      <c r="O79" s="3">
        <v>5</v>
      </c>
      <c r="P79" s="4">
        <v>2.4</v>
      </c>
      <c r="Q79" t="s">
        <v>28</v>
      </c>
      <c r="R79" t="s">
        <v>29</v>
      </c>
      <c r="S79" t="s">
        <v>38</v>
      </c>
      <c r="T79" s="2">
        <v>46031</v>
      </c>
      <c r="U79" s="4">
        <v>3.4</v>
      </c>
      <c r="V79" s="4">
        <v>3.6</v>
      </c>
      <c r="W79" t="str">
        <f t="shared" si="2"/>
        <v>June</v>
      </c>
      <c r="X79">
        <f t="shared" si="3"/>
        <v>1078</v>
      </c>
    </row>
    <row r="80" spans="1:24" x14ac:dyDescent="0.3">
      <c r="A80" t="s">
        <v>128</v>
      </c>
      <c r="B80" s="2">
        <v>44570</v>
      </c>
      <c r="C80" t="s">
        <v>48</v>
      </c>
      <c r="D80" t="s">
        <v>41</v>
      </c>
      <c r="E80" s="3">
        <v>24</v>
      </c>
      <c r="F80" t="s">
        <v>25</v>
      </c>
      <c r="G80" t="s">
        <v>33</v>
      </c>
      <c r="H80" t="s">
        <v>52</v>
      </c>
      <c r="I80" s="4">
        <v>0</v>
      </c>
      <c r="J80" s="5">
        <v>27700</v>
      </c>
      <c r="K80" s="5">
        <v>1600</v>
      </c>
      <c r="L80" s="4">
        <v>3.1</v>
      </c>
      <c r="M80" s="3">
        <v>35</v>
      </c>
      <c r="N80" s="3">
        <v>11</v>
      </c>
      <c r="O80" s="3">
        <v>23</v>
      </c>
      <c r="P80" s="4">
        <v>3.1</v>
      </c>
      <c r="Q80" t="s">
        <v>29</v>
      </c>
      <c r="R80" t="s">
        <v>28</v>
      </c>
      <c r="S80" t="s">
        <v>38</v>
      </c>
      <c r="T80" s="2">
        <v>45579</v>
      </c>
      <c r="U80" s="4">
        <v>3.5</v>
      </c>
      <c r="V80" s="4">
        <v>4.3</v>
      </c>
      <c r="W80" t="str">
        <f t="shared" si="2"/>
        <v>January</v>
      </c>
      <c r="X80">
        <f t="shared" si="3"/>
        <v>1079</v>
      </c>
    </row>
    <row r="81" spans="1:24" x14ac:dyDescent="0.3">
      <c r="A81" t="s">
        <v>129</v>
      </c>
      <c r="B81" s="2">
        <v>46008</v>
      </c>
      <c r="C81" t="s">
        <v>48</v>
      </c>
      <c r="D81" t="s">
        <v>24</v>
      </c>
      <c r="E81" s="3">
        <v>52</v>
      </c>
      <c r="F81" t="s">
        <v>25</v>
      </c>
      <c r="G81" t="s">
        <v>33</v>
      </c>
      <c r="H81" t="s">
        <v>46</v>
      </c>
      <c r="I81" s="4">
        <v>32.299999999999997</v>
      </c>
      <c r="J81" s="5">
        <v>166800</v>
      </c>
      <c r="K81" s="5">
        <v>19400</v>
      </c>
      <c r="L81" s="4">
        <v>4.5</v>
      </c>
      <c r="M81" s="3">
        <v>30</v>
      </c>
      <c r="N81" s="3">
        <v>13</v>
      </c>
      <c r="O81" s="3">
        <v>12</v>
      </c>
      <c r="P81" s="4">
        <v>3.7</v>
      </c>
      <c r="Q81" t="s">
        <v>28</v>
      </c>
      <c r="R81" t="s">
        <v>29</v>
      </c>
      <c r="S81" t="s">
        <v>43</v>
      </c>
      <c r="T81" s="2">
        <v>46203</v>
      </c>
      <c r="U81" s="4">
        <v>3.6</v>
      </c>
      <c r="V81" s="4">
        <v>4.0999999999999996</v>
      </c>
      <c r="W81" t="str">
        <f t="shared" si="2"/>
        <v>December</v>
      </c>
      <c r="X81">
        <f t="shared" si="3"/>
        <v>1080</v>
      </c>
    </row>
    <row r="82" spans="1:24" x14ac:dyDescent="0.3">
      <c r="A82" t="s">
        <v>130</v>
      </c>
      <c r="B82" s="2">
        <v>45862</v>
      </c>
      <c r="C82" t="s">
        <v>54</v>
      </c>
      <c r="D82" t="s">
        <v>24</v>
      </c>
      <c r="E82" s="3">
        <v>43</v>
      </c>
      <c r="F82" t="s">
        <v>25</v>
      </c>
      <c r="G82" t="s">
        <v>51</v>
      </c>
      <c r="H82" t="s">
        <v>52</v>
      </c>
      <c r="I82" s="4">
        <v>22.7</v>
      </c>
      <c r="J82" s="5">
        <v>110900</v>
      </c>
      <c r="K82" s="5">
        <v>3300</v>
      </c>
      <c r="L82" s="4">
        <v>4.3</v>
      </c>
      <c r="M82" s="3">
        <v>20</v>
      </c>
      <c r="N82" s="3">
        <v>6</v>
      </c>
      <c r="O82" s="3">
        <v>12</v>
      </c>
      <c r="P82" s="4">
        <v>3</v>
      </c>
      <c r="Q82" t="s">
        <v>28</v>
      </c>
      <c r="R82" t="s">
        <v>29</v>
      </c>
      <c r="S82" t="s">
        <v>43</v>
      </c>
      <c r="T82" s="2">
        <v>46072</v>
      </c>
      <c r="U82" s="4">
        <v>3.2</v>
      </c>
      <c r="V82" s="4">
        <v>3.9</v>
      </c>
      <c r="W82" t="str">
        <f t="shared" si="2"/>
        <v>July</v>
      </c>
      <c r="X82">
        <f t="shared" si="3"/>
        <v>1081</v>
      </c>
    </row>
    <row r="83" spans="1:24" x14ac:dyDescent="0.3">
      <c r="A83" t="s">
        <v>131</v>
      </c>
      <c r="B83" s="2">
        <v>44982</v>
      </c>
      <c r="C83" t="s">
        <v>54</v>
      </c>
      <c r="D83" t="s">
        <v>24</v>
      </c>
      <c r="E83" s="3">
        <v>35</v>
      </c>
      <c r="F83" t="s">
        <v>25</v>
      </c>
      <c r="G83" t="s">
        <v>26</v>
      </c>
      <c r="H83" t="s">
        <v>63</v>
      </c>
      <c r="I83" s="4">
        <v>9.9</v>
      </c>
      <c r="J83" s="5">
        <v>60300</v>
      </c>
      <c r="K83" s="5">
        <v>4700</v>
      </c>
      <c r="L83" s="4">
        <v>2.2000000000000002</v>
      </c>
      <c r="M83" s="3">
        <v>17</v>
      </c>
      <c r="N83" s="3">
        <v>11</v>
      </c>
      <c r="O83" s="3">
        <v>26</v>
      </c>
      <c r="P83" s="4">
        <v>3.8</v>
      </c>
      <c r="Q83" t="s">
        <v>28</v>
      </c>
      <c r="R83" t="s">
        <v>28</v>
      </c>
      <c r="S83" t="s">
        <v>30</v>
      </c>
      <c r="T83" s="2">
        <v>46117</v>
      </c>
      <c r="U83" s="4">
        <v>4</v>
      </c>
      <c r="V83" s="4">
        <v>3.9</v>
      </c>
      <c r="W83" t="str">
        <f t="shared" si="2"/>
        <v>February</v>
      </c>
      <c r="X83">
        <f t="shared" si="3"/>
        <v>1082</v>
      </c>
    </row>
    <row r="84" spans="1:24" x14ac:dyDescent="0.3">
      <c r="A84" t="s">
        <v>132</v>
      </c>
      <c r="B84" s="2">
        <v>44618</v>
      </c>
      <c r="C84" t="s">
        <v>32</v>
      </c>
      <c r="D84" t="s">
        <v>24</v>
      </c>
      <c r="E84" s="3">
        <v>24</v>
      </c>
      <c r="F84" t="s">
        <v>25</v>
      </c>
      <c r="G84" t="s">
        <v>26</v>
      </c>
      <c r="H84" t="s">
        <v>63</v>
      </c>
      <c r="I84" s="4">
        <v>4</v>
      </c>
      <c r="J84" s="5">
        <v>50900</v>
      </c>
      <c r="K84" s="5">
        <v>3300</v>
      </c>
      <c r="L84" s="4">
        <v>3.2</v>
      </c>
      <c r="M84" s="3">
        <v>39</v>
      </c>
      <c r="N84" s="3">
        <v>5</v>
      </c>
      <c r="O84" s="3">
        <v>23</v>
      </c>
      <c r="P84" s="4">
        <v>3.1</v>
      </c>
      <c r="Q84" t="s">
        <v>28</v>
      </c>
      <c r="R84" t="s">
        <v>28</v>
      </c>
      <c r="S84" t="s">
        <v>38</v>
      </c>
      <c r="T84" s="2">
        <v>45969</v>
      </c>
      <c r="U84" s="4">
        <v>3.8</v>
      </c>
      <c r="V84" s="4">
        <v>4</v>
      </c>
      <c r="W84" t="str">
        <f t="shared" si="2"/>
        <v>February</v>
      </c>
      <c r="X84">
        <f t="shared" si="3"/>
        <v>1083</v>
      </c>
    </row>
    <row r="85" spans="1:24" x14ac:dyDescent="0.3">
      <c r="A85" t="s">
        <v>133</v>
      </c>
      <c r="B85" s="2">
        <v>44889</v>
      </c>
      <c r="C85" t="s">
        <v>23</v>
      </c>
      <c r="D85" t="s">
        <v>24</v>
      </c>
      <c r="E85" s="3">
        <v>49</v>
      </c>
      <c r="F85" t="s">
        <v>25</v>
      </c>
      <c r="G85" t="s">
        <v>33</v>
      </c>
      <c r="H85" t="s">
        <v>63</v>
      </c>
      <c r="I85" s="4">
        <v>26</v>
      </c>
      <c r="J85" s="5">
        <v>139200</v>
      </c>
      <c r="K85" s="5">
        <v>16000</v>
      </c>
      <c r="L85" s="4">
        <v>3.1</v>
      </c>
      <c r="M85" s="3">
        <v>14</v>
      </c>
      <c r="N85" s="3">
        <v>6</v>
      </c>
      <c r="O85" s="3">
        <v>14</v>
      </c>
      <c r="P85" s="4">
        <v>2.4</v>
      </c>
      <c r="Q85" t="s">
        <v>28</v>
      </c>
      <c r="R85" t="s">
        <v>28</v>
      </c>
      <c r="S85" t="s">
        <v>60</v>
      </c>
      <c r="T85" s="2">
        <v>45571</v>
      </c>
      <c r="U85" s="4">
        <v>3</v>
      </c>
      <c r="V85" s="4">
        <v>3.3</v>
      </c>
      <c r="W85" t="str">
        <f t="shared" si="2"/>
        <v>November</v>
      </c>
      <c r="X85">
        <f t="shared" si="3"/>
        <v>1084</v>
      </c>
    </row>
    <row r="86" spans="1:24" x14ac:dyDescent="0.3">
      <c r="A86" t="s">
        <v>134</v>
      </c>
      <c r="B86" s="2">
        <v>45848</v>
      </c>
      <c r="C86" t="s">
        <v>40</v>
      </c>
      <c r="D86" t="s">
        <v>41</v>
      </c>
      <c r="E86" s="3">
        <v>23</v>
      </c>
      <c r="F86" t="s">
        <v>25</v>
      </c>
      <c r="G86" t="s">
        <v>26</v>
      </c>
      <c r="H86" t="s">
        <v>63</v>
      </c>
      <c r="I86" s="4">
        <v>0</v>
      </c>
      <c r="J86" s="5">
        <v>41600</v>
      </c>
      <c r="K86" s="5">
        <v>1400</v>
      </c>
      <c r="L86" s="4">
        <v>4.4000000000000004</v>
      </c>
      <c r="M86" s="3">
        <v>33</v>
      </c>
      <c r="N86" s="3">
        <v>17</v>
      </c>
      <c r="O86" s="3">
        <v>14</v>
      </c>
      <c r="P86" s="4">
        <v>3</v>
      </c>
      <c r="Q86" t="s">
        <v>28</v>
      </c>
      <c r="R86" t="s">
        <v>28</v>
      </c>
      <c r="S86" t="s">
        <v>38</v>
      </c>
      <c r="T86" s="2">
        <v>46203</v>
      </c>
      <c r="U86" s="4">
        <v>3.4</v>
      </c>
      <c r="V86" s="4">
        <v>4</v>
      </c>
      <c r="W86" t="str">
        <f t="shared" si="2"/>
        <v>July</v>
      </c>
      <c r="X86">
        <f t="shared" si="3"/>
        <v>1085</v>
      </c>
    </row>
    <row r="87" spans="1:24" x14ac:dyDescent="0.3">
      <c r="A87" t="s">
        <v>135</v>
      </c>
      <c r="B87" s="2">
        <v>44242</v>
      </c>
      <c r="C87" t="s">
        <v>40</v>
      </c>
      <c r="D87" t="s">
        <v>41</v>
      </c>
      <c r="E87" s="3">
        <v>54</v>
      </c>
      <c r="F87" t="s">
        <v>25</v>
      </c>
      <c r="G87" t="s">
        <v>26</v>
      </c>
      <c r="H87" t="s">
        <v>27</v>
      </c>
      <c r="I87" s="4">
        <v>32.299999999999997</v>
      </c>
      <c r="J87" s="5">
        <v>156500</v>
      </c>
      <c r="K87" s="5">
        <v>17900</v>
      </c>
      <c r="L87" s="4">
        <v>2.8</v>
      </c>
      <c r="M87" s="3">
        <v>22</v>
      </c>
      <c r="N87" s="3">
        <v>9</v>
      </c>
      <c r="O87" s="3">
        <v>23</v>
      </c>
      <c r="P87" s="4">
        <v>3.9</v>
      </c>
      <c r="Q87" t="s">
        <v>28</v>
      </c>
      <c r="R87" t="s">
        <v>28</v>
      </c>
      <c r="S87" t="s">
        <v>60</v>
      </c>
      <c r="T87" s="2">
        <v>44621</v>
      </c>
      <c r="U87" s="4">
        <v>3</v>
      </c>
      <c r="V87" s="4">
        <v>3.3</v>
      </c>
      <c r="W87" t="str">
        <f t="shared" si="2"/>
        <v>February</v>
      </c>
      <c r="X87">
        <f t="shared" si="3"/>
        <v>1086</v>
      </c>
    </row>
    <row r="88" spans="1:24" x14ac:dyDescent="0.3">
      <c r="A88" t="s">
        <v>136</v>
      </c>
      <c r="B88" s="2">
        <v>45670</v>
      </c>
      <c r="C88" t="s">
        <v>48</v>
      </c>
      <c r="D88" t="s">
        <v>24</v>
      </c>
      <c r="E88" s="3">
        <v>57</v>
      </c>
      <c r="F88" t="s">
        <v>25</v>
      </c>
      <c r="G88" t="s">
        <v>26</v>
      </c>
      <c r="H88" t="s">
        <v>55</v>
      </c>
      <c r="I88" s="4">
        <v>33.700000000000003</v>
      </c>
      <c r="J88" s="5">
        <v>150500</v>
      </c>
      <c r="K88" s="5">
        <v>3100</v>
      </c>
      <c r="L88" s="4">
        <v>3.6</v>
      </c>
      <c r="M88" s="3">
        <v>28</v>
      </c>
      <c r="N88" s="3">
        <v>11</v>
      </c>
      <c r="O88" s="3">
        <v>16</v>
      </c>
      <c r="P88" s="4">
        <v>4.0999999999999996</v>
      </c>
      <c r="Q88" t="s">
        <v>28</v>
      </c>
      <c r="R88" t="s">
        <v>28</v>
      </c>
      <c r="S88" t="s">
        <v>43</v>
      </c>
      <c r="T88" s="2">
        <v>46203</v>
      </c>
      <c r="U88" s="4">
        <v>3.4</v>
      </c>
      <c r="V88" s="4">
        <v>3.7</v>
      </c>
      <c r="W88" t="str">
        <f t="shared" si="2"/>
        <v>January</v>
      </c>
      <c r="X88">
        <f t="shared" si="3"/>
        <v>1087</v>
      </c>
    </row>
    <row r="89" spans="1:24" x14ac:dyDescent="0.3">
      <c r="A89" t="s">
        <v>137</v>
      </c>
      <c r="B89" s="2">
        <v>45315</v>
      </c>
      <c r="C89" t="s">
        <v>23</v>
      </c>
      <c r="D89" t="s">
        <v>24</v>
      </c>
      <c r="E89" s="3">
        <v>56</v>
      </c>
      <c r="F89" t="s">
        <v>50</v>
      </c>
      <c r="G89" t="s">
        <v>26</v>
      </c>
      <c r="H89" t="s">
        <v>52</v>
      </c>
      <c r="I89" s="4">
        <v>35</v>
      </c>
      <c r="J89" s="5">
        <v>155400</v>
      </c>
      <c r="K89" s="5">
        <v>6700</v>
      </c>
      <c r="L89" s="4">
        <v>2.8</v>
      </c>
      <c r="M89" s="3">
        <v>15</v>
      </c>
      <c r="N89" s="3">
        <v>14</v>
      </c>
      <c r="O89" s="3">
        <v>13</v>
      </c>
      <c r="P89" s="4">
        <v>3</v>
      </c>
      <c r="Q89" t="s">
        <v>28</v>
      </c>
      <c r="R89" t="s">
        <v>28</v>
      </c>
      <c r="S89" t="s">
        <v>60</v>
      </c>
      <c r="T89" s="2">
        <v>46203</v>
      </c>
      <c r="U89" s="4">
        <v>4.4000000000000004</v>
      </c>
      <c r="V89" s="4">
        <v>4.5</v>
      </c>
      <c r="W89" t="str">
        <f t="shared" si="2"/>
        <v>January</v>
      </c>
      <c r="X89">
        <f t="shared" si="3"/>
        <v>1088</v>
      </c>
    </row>
    <row r="90" spans="1:24" x14ac:dyDescent="0.3">
      <c r="A90" t="s">
        <v>138</v>
      </c>
      <c r="B90" s="2">
        <v>45097</v>
      </c>
      <c r="C90" t="s">
        <v>36</v>
      </c>
      <c r="D90" t="s">
        <v>41</v>
      </c>
      <c r="E90" s="3">
        <v>58</v>
      </c>
      <c r="F90" t="s">
        <v>25</v>
      </c>
      <c r="G90" t="s">
        <v>26</v>
      </c>
      <c r="H90" t="s">
        <v>55</v>
      </c>
      <c r="I90" s="4">
        <v>30.7</v>
      </c>
      <c r="J90" s="5">
        <v>151800</v>
      </c>
      <c r="K90" s="5">
        <v>14600</v>
      </c>
      <c r="L90" s="4">
        <v>3.9</v>
      </c>
      <c r="M90" s="3">
        <v>21</v>
      </c>
      <c r="N90" s="3">
        <v>11</v>
      </c>
      <c r="O90" s="3">
        <v>10</v>
      </c>
      <c r="P90" s="4">
        <v>4</v>
      </c>
      <c r="Q90" t="s">
        <v>28</v>
      </c>
      <c r="R90" t="s">
        <v>28</v>
      </c>
      <c r="S90" t="s">
        <v>60</v>
      </c>
      <c r="T90" s="2">
        <v>46203</v>
      </c>
      <c r="U90" s="4">
        <v>2.8</v>
      </c>
      <c r="V90" s="4">
        <v>2.8</v>
      </c>
      <c r="W90" t="str">
        <f t="shared" si="2"/>
        <v>June</v>
      </c>
      <c r="X90">
        <f t="shared" si="3"/>
        <v>1089</v>
      </c>
    </row>
    <row r="91" spans="1:24" x14ac:dyDescent="0.3">
      <c r="A91" t="s">
        <v>139</v>
      </c>
      <c r="B91" s="2">
        <v>44862</v>
      </c>
      <c r="C91" t="s">
        <v>54</v>
      </c>
      <c r="D91" t="s">
        <v>41</v>
      </c>
      <c r="E91" s="3">
        <v>40</v>
      </c>
      <c r="F91" t="s">
        <v>25</v>
      </c>
      <c r="G91" t="s">
        <v>51</v>
      </c>
      <c r="H91" t="s">
        <v>27</v>
      </c>
      <c r="I91" s="4">
        <v>10.5</v>
      </c>
      <c r="J91" s="5">
        <v>74800</v>
      </c>
      <c r="K91" s="5">
        <v>6500</v>
      </c>
      <c r="L91" s="4">
        <v>3.9</v>
      </c>
      <c r="M91" s="3">
        <v>31</v>
      </c>
      <c r="N91" s="3">
        <v>15</v>
      </c>
      <c r="O91" s="3">
        <v>27</v>
      </c>
      <c r="P91" s="4">
        <v>2.9</v>
      </c>
      <c r="Q91" t="s">
        <v>29</v>
      </c>
      <c r="R91" t="s">
        <v>28</v>
      </c>
      <c r="S91" t="s">
        <v>30</v>
      </c>
      <c r="T91" s="2">
        <v>46007</v>
      </c>
      <c r="U91" s="4">
        <v>3.3</v>
      </c>
      <c r="V91" s="4">
        <v>3.6</v>
      </c>
      <c r="W91" t="str">
        <f t="shared" si="2"/>
        <v>October</v>
      </c>
      <c r="X91">
        <f t="shared" si="3"/>
        <v>1090</v>
      </c>
    </row>
    <row r="92" spans="1:24" x14ac:dyDescent="0.3">
      <c r="A92" t="s">
        <v>140</v>
      </c>
      <c r="B92" s="2">
        <v>45257</v>
      </c>
      <c r="C92" t="s">
        <v>40</v>
      </c>
      <c r="D92" t="s">
        <v>24</v>
      </c>
      <c r="E92" s="3">
        <v>55</v>
      </c>
      <c r="F92" t="s">
        <v>50</v>
      </c>
      <c r="G92" t="s">
        <v>26</v>
      </c>
      <c r="H92" t="s">
        <v>46</v>
      </c>
      <c r="I92" s="4">
        <v>26.8</v>
      </c>
      <c r="J92" s="5">
        <v>139800</v>
      </c>
      <c r="K92" s="5">
        <v>13000</v>
      </c>
      <c r="L92" s="4">
        <v>3.8</v>
      </c>
      <c r="M92" s="3">
        <v>36</v>
      </c>
      <c r="N92" s="3">
        <v>12</v>
      </c>
      <c r="O92" s="3">
        <v>21</v>
      </c>
      <c r="P92" s="4">
        <v>3.6</v>
      </c>
      <c r="Q92" t="s">
        <v>28</v>
      </c>
      <c r="R92" t="s">
        <v>28</v>
      </c>
      <c r="S92" t="s">
        <v>30</v>
      </c>
      <c r="T92" s="2">
        <v>46129</v>
      </c>
      <c r="U92" s="4">
        <v>2.6</v>
      </c>
      <c r="V92" s="4">
        <v>3.5</v>
      </c>
      <c r="W92" t="str">
        <f t="shared" si="2"/>
        <v>November</v>
      </c>
      <c r="X92">
        <f t="shared" si="3"/>
        <v>1091</v>
      </c>
    </row>
    <row r="93" spans="1:24" x14ac:dyDescent="0.3">
      <c r="A93" t="s">
        <v>141</v>
      </c>
      <c r="B93" s="2">
        <v>45147</v>
      </c>
      <c r="C93" t="s">
        <v>23</v>
      </c>
      <c r="D93" t="s">
        <v>41</v>
      </c>
      <c r="E93" s="3">
        <v>47</v>
      </c>
      <c r="F93" t="s">
        <v>25</v>
      </c>
      <c r="G93" t="s">
        <v>33</v>
      </c>
      <c r="H93" t="s">
        <v>55</v>
      </c>
      <c r="I93" s="4">
        <v>18.7</v>
      </c>
      <c r="J93" s="5">
        <v>108400</v>
      </c>
      <c r="K93" s="5">
        <v>4800</v>
      </c>
      <c r="L93" s="4">
        <v>3.3</v>
      </c>
      <c r="M93" s="3">
        <v>29</v>
      </c>
      <c r="N93" s="3">
        <v>19</v>
      </c>
      <c r="O93" s="3">
        <v>24</v>
      </c>
      <c r="P93" s="4">
        <v>3.2</v>
      </c>
      <c r="Q93" t="s">
        <v>29</v>
      </c>
      <c r="R93" t="s">
        <v>28</v>
      </c>
      <c r="S93" t="s">
        <v>43</v>
      </c>
      <c r="T93" s="2">
        <v>45451</v>
      </c>
      <c r="U93" s="4">
        <v>3</v>
      </c>
      <c r="V93" s="4">
        <v>2.8</v>
      </c>
      <c r="W93" t="str">
        <f t="shared" si="2"/>
        <v>August</v>
      </c>
      <c r="X93">
        <f t="shared" si="3"/>
        <v>1092</v>
      </c>
    </row>
    <row r="94" spans="1:24" x14ac:dyDescent="0.3">
      <c r="A94" t="s">
        <v>142</v>
      </c>
      <c r="B94" s="2">
        <v>45778</v>
      </c>
      <c r="C94" t="s">
        <v>40</v>
      </c>
      <c r="D94" t="s">
        <v>41</v>
      </c>
      <c r="E94" s="3">
        <v>52</v>
      </c>
      <c r="F94" t="s">
        <v>57</v>
      </c>
      <c r="G94" t="s">
        <v>33</v>
      </c>
      <c r="H94" t="s">
        <v>55</v>
      </c>
      <c r="I94" s="4">
        <v>25</v>
      </c>
      <c r="J94" s="5">
        <v>138300</v>
      </c>
      <c r="K94" s="5">
        <v>5100</v>
      </c>
      <c r="L94" s="4">
        <v>4</v>
      </c>
      <c r="M94" s="3">
        <v>7</v>
      </c>
      <c r="N94" s="3">
        <v>11</v>
      </c>
      <c r="O94" s="3">
        <v>15</v>
      </c>
      <c r="P94" s="4">
        <v>4.5999999999999996</v>
      </c>
      <c r="Q94" t="s">
        <v>28</v>
      </c>
      <c r="R94" t="s">
        <v>29</v>
      </c>
      <c r="S94" t="s">
        <v>38</v>
      </c>
      <c r="T94" s="2">
        <v>46039</v>
      </c>
      <c r="U94" s="4">
        <v>3.9</v>
      </c>
      <c r="V94" s="4">
        <v>4.5999999999999996</v>
      </c>
      <c r="W94" t="str">
        <f t="shared" si="2"/>
        <v>May</v>
      </c>
      <c r="X94">
        <f t="shared" si="3"/>
        <v>1093</v>
      </c>
    </row>
    <row r="95" spans="1:24" x14ac:dyDescent="0.3">
      <c r="A95" t="s">
        <v>143</v>
      </c>
      <c r="B95" s="2">
        <v>44758</v>
      </c>
      <c r="C95" t="s">
        <v>54</v>
      </c>
      <c r="D95" t="s">
        <v>41</v>
      </c>
      <c r="E95" s="3">
        <v>50</v>
      </c>
      <c r="F95" t="s">
        <v>25</v>
      </c>
      <c r="G95" t="s">
        <v>42</v>
      </c>
      <c r="H95" t="s">
        <v>52</v>
      </c>
      <c r="I95" s="4">
        <v>25.1</v>
      </c>
      <c r="J95" s="5">
        <v>156400</v>
      </c>
      <c r="K95" s="5">
        <v>5800</v>
      </c>
      <c r="L95" s="4">
        <v>2.9</v>
      </c>
      <c r="M95" s="3">
        <v>39</v>
      </c>
      <c r="N95" s="3">
        <v>8</v>
      </c>
      <c r="O95" s="3">
        <v>23</v>
      </c>
      <c r="P95" s="4">
        <v>3.5</v>
      </c>
      <c r="Q95" t="s">
        <v>28</v>
      </c>
      <c r="R95" t="s">
        <v>28</v>
      </c>
      <c r="S95" t="s">
        <v>43</v>
      </c>
      <c r="T95" s="2">
        <v>46062</v>
      </c>
      <c r="U95" s="4">
        <v>3.3</v>
      </c>
      <c r="V95" s="4">
        <v>4.0999999999999996</v>
      </c>
      <c r="W95" t="str">
        <f t="shared" si="2"/>
        <v>July</v>
      </c>
      <c r="X95">
        <f t="shared" si="3"/>
        <v>1094</v>
      </c>
    </row>
    <row r="96" spans="1:24" x14ac:dyDescent="0.3">
      <c r="A96" t="s">
        <v>144</v>
      </c>
      <c r="B96" s="2">
        <v>45276</v>
      </c>
      <c r="C96" t="s">
        <v>40</v>
      </c>
      <c r="D96" t="s">
        <v>41</v>
      </c>
      <c r="E96" s="3">
        <v>27</v>
      </c>
      <c r="F96" t="s">
        <v>25</v>
      </c>
      <c r="G96" t="s">
        <v>26</v>
      </c>
      <c r="H96" t="s">
        <v>46</v>
      </c>
      <c r="I96" s="4">
        <v>0.3</v>
      </c>
      <c r="J96" s="5">
        <v>27700</v>
      </c>
      <c r="K96" s="5">
        <v>2900</v>
      </c>
      <c r="L96" s="4">
        <v>3.8</v>
      </c>
      <c r="M96" s="3">
        <v>33</v>
      </c>
      <c r="N96" s="3">
        <v>10</v>
      </c>
      <c r="O96" s="3">
        <v>22</v>
      </c>
      <c r="P96" s="4">
        <v>3.5</v>
      </c>
      <c r="Q96" t="s">
        <v>28</v>
      </c>
      <c r="R96" t="s">
        <v>28</v>
      </c>
      <c r="S96" t="s">
        <v>34</v>
      </c>
      <c r="T96" s="2">
        <v>46020</v>
      </c>
      <c r="U96" s="4">
        <v>4</v>
      </c>
      <c r="V96" s="4">
        <v>4.5999999999999996</v>
      </c>
      <c r="W96" t="str">
        <f t="shared" si="2"/>
        <v>December</v>
      </c>
      <c r="X96">
        <f t="shared" si="3"/>
        <v>1095</v>
      </c>
    </row>
    <row r="97" spans="1:24" x14ac:dyDescent="0.3">
      <c r="A97" t="s">
        <v>145</v>
      </c>
      <c r="B97" s="2">
        <v>45246</v>
      </c>
      <c r="C97" t="s">
        <v>23</v>
      </c>
      <c r="D97" t="s">
        <v>41</v>
      </c>
      <c r="E97" s="3">
        <v>31</v>
      </c>
      <c r="F97" t="s">
        <v>25</v>
      </c>
      <c r="G97" t="s">
        <v>26</v>
      </c>
      <c r="H97" t="s">
        <v>63</v>
      </c>
      <c r="I97" s="4">
        <v>5.7</v>
      </c>
      <c r="J97" s="5">
        <v>46400</v>
      </c>
      <c r="K97" s="5">
        <v>1000</v>
      </c>
      <c r="L97" s="4">
        <v>3.2</v>
      </c>
      <c r="M97" s="3">
        <v>38</v>
      </c>
      <c r="N97" s="3">
        <v>6</v>
      </c>
      <c r="O97" s="3">
        <v>18</v>
      </c>
      <c r="P97" s="4">
        <v>4.0999999999999996</v>
      </c>
      <c r="Q97" t="s">
        <v>28</v>
      </c>
      <c r="R97" t="s">
        <v>28</v>
      </c>
      <c r="S97" t="s">
        <v>43</v>
      </c>
      <c r="T97" s="2">
        <v>45468</v>
      </c>
      <c r="U97" s="4">
        <v>3.1</v>
      </c>
      <c r="V97" s="4">
        <v>3.1</v>
      </c>
      <c r="W97" t="str">
        <f t="shared" si="2"/>
        <v>November</v>
      </c>
      <c r="X97">
        <f t="shared" si="3"/>
        <v>1096</v>
      </c>
    </row>
    <row r="98" spans="1:24" x14ac:dyDescent="0.3">
      <c r="A98" t="s">
        <v>146</v>
      </c>
      <c r="B98" s="2">
        <v>45840</v>
      </c>
      <c r="C98" t="s">
        <v>32</v>
      </c>
      <c r="D98" t="s">
        <v>41</v>
      </c>
      <c r="E98" s="3">
        <v>41</v>
      </c>
      <c r="F98" t="s">
        <v>25</v>
      </c>
      <c r="G98" t="s">
        <v>51</v>
      </c>
      <c r="H98" t="s">
        <v>46</v>
      </c>
      <c r="I98" s="4">
        <v>23.5</v>
      </c>
      <c r="J98" s="5">
        <v>112500</v>
      </c>
      <c r="K98" s="5">
        <v>5500</v>
      </c>
      <c r="L98" s="4">
        <v>3.2</v>
      </c>
      <c r="M98" s="3">
        <v>32</v>
      </c>
      <c r="N98" s="3">
        <v>12</v>
      </c>
      <c r="O98" s="3">
        <v>9</v>
      </c>
      <c r="P98" s="4">
        <v>3.8</v>
      </c>
      <c r="Q98" t="s">
        <v>28</v>
      </c>
      <c r="R98" t="s">
        <v>28</v>
      </c>
      <c r="S98" t="s">
        <v>38</v>
      </c>
      <c r="T98" s="2">
        <v>46203</v>
      </c>
      <c r="U98" s="4">
        <v>3</v>
      </c>
      <c r="V98" s="4">
        <v>3.6</v>
      </c>
      <c r="W98" t="str">
        <f t="shared" si="2"/>
        <v>July</v>
      </c>
      <c r="X98">
        <f t="shared" si="3"/>
        <v>1097</v>
      </c>
    </row>
    <row r="99" spans="1:24" x14ac:dyDescent="0.3">
      <c r="A99" t="s">
        <v>147</v>
      </c>
      <c r="B99" s="2">
        <v>44596</v>
      </c>
      <c r="C99" t="s">
        <v>40</v>
      </c>
      <c r="D99" t="s">
        <v>24</v>
      </c>
      <c r="E99" s="3">
        <v>58</v>
      </c>
      <c r="F99" t="s">
        <v>57</v>
      </c>
      <c r="G99" t="s">
        <v>33</v>
      </c>
      <c r="H99" t="s">
        <v>37</v>
      </c>
      <c r="I99" s="4">
        <v>32.200000000000003</v>
      </c>
      <c r="J99" s="5">
        <v>161500</v>
      </c>
      <c r="K99" s="5">
        <v>4500</v>
      </c>
      <c r="L99" s="4">
        <v>3.9</v>
      </c>
      <c r="M99" s="3">
        <v>30</v>
      </c>
      <c r="N99" s="3">
        <v>13</v>
      </c>
      <c r="O99" s="3">
        <v>9</v>
      </c>
      <c r="P99" s="4">
        <v>3.7</v>
      </c>
      <c r="Q99" t="s">
        <v>28</v>
      </c>
      <c r="R99" t="s">
        <v>28</v>
      </c>
      <c r="S99" t="s">
        <v>38</v>
      </c>
      <c r="T99" s="2">
        <v>45737</v>
      </c>
      <c r="U99" s="4">
        <v>3.9</v>
      </c>
      <c r="V99" s="4">
        <v>4.3</v>
      </c>
      <c r="W99" t="str">
        <f t="shared" si="2"/>
        <v>February</v>
      </c>
      <c r="X99">
        <f t="shared" si="3"/>
        <v>1098</v>
      </c>
    </row>
    <row r="100" spans="1:24" x14ac:dyDescent="0.3">
      <c r="A100" t="s">
        <v>148</v>
      </c>
      <c r="B100" s="2">
        <v>44371</v>
      </c>
      <c r="C100" t="s">
        <v>23</v>
      </c>
      <c r="D100" t="s">
        <v>41</v>
      </c>
      <c r="E100" s="3">
        <v>39</v>
      </c>
      <c r="F100" t="s">
        <v>57</v>
      </c>
      <c r="G100" t="s">
        <v>33</v>
      </c>
      <c r="H100" t="s">
        <v>55</v>
      </c>
      <c r="I100" s="4">
        <v>13.1</v>
      </c>
      <c r="J100" s="5">
        <v>96100</v>
      </c>
      <c r="K100" s="5">
        <v>9400</v>
      </c>
      <c r="L100" s="4">
        <v>3.3</v>
      </c>
      <c r="M100" s="3">
        <v>27</v>
      </c>
      <c r="N100" s="3">
        <v>9</v>
      </c>
      <c r="O100" s="3">
        <v>30</v>
      </c>
      <c r="P100" s="4">
        <v>4.4000000000000004</v>
      </c>
      <c r="Q100" t="s">
        <v>28</v>
      </c>
      <c r="R100" t="s">
        <v>28</v>
      </c>
      <c r="S100" t="s">
        <v>34</v>
      </c>
      <c r="T100" s="2">
        <v>45392</v>
      </c>
      <c r="U100" s="4">
        <v>3.4</v>
      </c>
      <c r="V100" s="4">
        <v>3.4</v>
      </c>
      <c r="W100" t="str">
        <f t="shared" si="2"/>
        <v>June</v>
      </c>
      <c r="X100">
        <f t="shared" si="3"/>
        <v>1099</v>
      </c>
    </row>
    <row r="101" spans="1:24" x14ac:dyDescent="0.3">
      <c r="A101" t="s">
        <v>149</v>
      </c>
      <c r="B101" s="2">
        <v>44407</v>
      </c>
      <c r="C101" t="s">
        <v>40</v>
      </c>
      <c r="D101" t="s">
        <v>24</v>
      </c>
      <c r="E101" s="3">
        <v>38</v>
      </c>
      <c r="F101" t="s">
        <v>57</v>
      </c>
      <c r="G101" t="s">
        <v>51</v>
      </c>
      <c r="H101" t="s">
        <v>55</v>
      </c>
      <c r="I101" s="4">
        <v>18.8</v>
      </c>
      <c r="J101" s="5">
        <v>94100</v>
      </c>
      <c r="K101" s="5">
        <v>4500</v>
      </c>
      <c r="L101" s="4">
        <v>3.9</v>
      </c>
      <c r="M101" s="3">
        <v>10</v>
      </c>
      <c r="N101" s="3">
        <v>15</v>
      </c>
      <c r="O101" s="3">
        <v>1</v>
      </c>
      <c r="P101" s="4">
        <v>4.0999999999999996</v>
      </c>
      <c r="Q101" t="s">
        <v>28</v>
      </c>
      <c r="R101" t="s">
        <v>28</v>
      </c>
      <c r="S101" t="s">
        <v>60</v>
      </c>
      <c r="T101" s="2">
        <v>44592</v>
      </c>
      <c r="U101" s="4">
        <v>3.2</v>
      </c>
      <c r="V101" s="4">
        <v>3.3</v>
      </c>
      <c r="W101" t="str">
        <f t="shared" si="2"/>
        <v>July</v>
      </c>
      <c r="X101">
        <f t="shared" si="3"/>
        <v>1100</v>
      </c>
    </row>
    <row r="102" spans="1:24" x14ac:dyDescent="0.3">
      <c r="A102" t="s">
        <v>150</v>
      </c>
      <c r="B102" s="2">
        <v>46012</v>
      </c>
      <c r="C102" t="s">
        <v>54</v>
      </c>
      <c r="D102" t="s">
        <v>41</v>
      </c>
      <c r="E102" s="3">
        <v>59</v>
      </c>
      <c r="F102" t="s">
        <v>25</v>
      </c>
      <c r="G102" t="s">
        <v>51</v>
      </c>
      <c r="H102" t="s">
        <v>63</v>
      </c>
      <c r="I102" s="4">
        <v>35</v>
      </c>
      <c r="J102" s="5">
        <v>149700</v>
      </c>
      <c r="K102" s="5">
        <v>11200</v>
      </c>
      <c r="L102" s="4">
        <v>1.7</v>
      </c>
      <c r="M102" s="3">
        <v>26</v>
      </c>
      <c r="N102" s="3">
        <v>15</v>
      </c>
      <c r="O102" s="3">
        <v>22</v>
      </c>
      <c r="P102" s="4">
        <v>2</v>
      </c>
      <c r="Q102" t="s">
        <v>29</v>
      </c>
      <c r="R102" t="s">
        <v>28</v>
      </c>
      <c r="S102" t="s">
        <v>34</v>
      </c>
      <c r="T102" s="2">
        <v>46203</v>
      </c>
      <c r="U102" s="4">
        <v>2.9</v>
      </c>
      <c r="V102" s="4">
        <v>2.7</v>
      </c>
      <c r="W102" t="str">
        <f t="shared" si="2"/>
        <v>December</v>
      </c>
      <c r="X102">
        <f t="shared" si="3"/>
        <v>1101</v>
      </c>
    </row>
    <row r="103" spans="1:24" x14ac:dyDescent="0.3">
      <c r="A103" t="s">
        <v>151</v>
      </c>
      <c r="B103" s="2">
        <v>44423</v>
      </c>
      <c r="C103" t="s">
        <v>54</v>
      </c>
      <c r="D103" t="s">
        <v>41</v>
      </c>
      <c r="E103" s="3">
        <v>47</v>
      </c>
      <c r="F103" t="s">
        <v>25</v>
      </c>
      <c r="G103" t="s">
        <v>51</v>
      </c>
      <c r="H103" t="s">
        <v>46</v>
      </c>
      <c r="I103" s="4">
        <v>26.4</v>
      </c>
      <c r="J103" s="5">
        <v>118500</v>
      </c>
      <c r="K103" s="5">
        <v>12100</v>
      </c>
      <c r="L103" s="4">
        <v>3.4</v>
      </c>
      <c r="M103" s="3">
        <v>26</v>
      </c>
      <c r="N103" s="3">
        <v>13</v>
      </c>
      <c r="O103" s="3">
        <v>12</v>
      </c>
      <c r="P103" s="4">
        <v>3.2</v>
      </c>
      <c r="Q103" t="s">
        <v>29</v>
      </c>
      <c r="R103" t="s">
        <v>28</v>
      </c>
      <c r="S103" t="s">
        <v>60</v>
      </c>
      <c r="T103" s="2">
        <v>45840</v>
      </c>
      <c r="U103" s="4">
        <v>3.1</v>
      </c>
      <c r="V103" s="4">
        <v>3</v>
      </c>
      <c r="W103" t="str">
        <f t="shared" si="2"/>
        <v>August</v>
      </c>
      <c r="X103">
        <f t="shared" si="3"/>
        <v>1102</v>
      </c>
    </row>
    <row r="104" spans="1:24" x14ac:dyDescent="0.3">
      <c r="A104" t="s">
        <v>152</v>
      </c>
      <c r="B104" s="2">
        <v>44804</v>
      </c>
      <c r="C104" t="s">
        <v>36</v>
      </c>
      <c r="D104" t="s">
        <v>24</v>
      </c>
      <c r="E104" s="3">
        <v>55</v>
      </c>
      <c r="F104" t="s">
        <v>50</v>
      </c>
      <c r="G104" t="s">
        <v>26</v>
      </c>
      <c r="H104" t="s">
        <v>27</v>
      </c>
      <c r="I104" s="4">
        <v>31</v>
      </c>
      <c r="J104" s="5">
        <v>146200</v>
      </c>
      <c r="K104" s="5">
        <v>15500</v>
      </c>
      <c r="L104" s="4">
        <v>3.2</v>
      </c>
      <c r="M104" s="3">
        <v>16</v>
      </c>
      <c r="N104" s="3">
        <v>18</v>
      </c>
      <c r="O104" s="3">
        <v>29</v>
      </c>
      <c r="P104" s="4">
        <v>4.9000000000000004</v>
      </c>
      <c r="Q104" t="s">
        <v>28</v>
      </c>
      <c r="R104" t="s">
        <v>28</v>
      </c>
      <c r="S104" t="s">
        <v>34</v>
      </c>
      <c r="T104" s="2">
        <v>46073</v>
      </c>
      <c r="U104" s="4">
        <v>3.1</v>
      </c>
      <c r="V104" s="4">
        <v>3.4</v>
      </c>
      <c r="W104" t="str">
        <f t="shared" si="2"/>
        <v>August</v>
      </c>
      <c r="X104">
        <f t="shared" si="3"/>
        <v>1103</v>
      </c>
    </row>
    <row r="105" spans="1:24" x14ac:dyDescent="0.3">
      <c r="A105" t="s">
        <v>153</v>
      </c>
      <c r="B105" s="2">
        <v>45455</v>
      </c>
      <c r="C105" t="s">
        <v>54</v>
      </c>
      <c r="D105" t="s">
        <v>41</v>
      </c>
      <c r="E105" s="3">
        <v>22</v>
      </c>
      <c r="F105" t="s">
        <v>50</v>
      </c>
      <c r="G105" t="s">
        <v>42</v>
      </c>
      <c r="H105" t="s">
        <v>46</v>
      </c>
      <c r="I105" s="4">
        <v>0</v>
      </c>
      <c r="J105" s="5">
        <v>69600</v>
      </c>
      <c r="K105" s="5">
        <v>1600</v>
      </c>
      <c r="L105" s="4">
        <v>4.4000000000000004</v>
      </c>
      <c r="M105" s="3">
        <v>20</v>
      </c>
      <c r="N105" s="3">
        <v>2</v>
      </c>
      <c r="O105" s="3">
        <v>11</v>
      </c>
      <c r="P105" s="4">
        <v>2.9</v>
      </c>
      <c r="Q105" t="s">
        <v>28</v>
      </c>
      <c r="R105" t="s">
        <v>28</v>
      </c>
      <c r="S105" t="s">
        <v>38</v>
      </c>
      <c r="T105" s="2">
        <v>45941</v>
      </c>
      <c r="U105" s="4">
        <v>4.0999999999999996</v>
      </c>
      <c r="V105" s="4">
        <v>4.5</v>
      </c>
      <c r="W105" t="str">
        <f t="shared" si="2"/>
        <v>June</v>
      </c>
      <c r="X105">
        <f t="shared" si="3"/>
        <v>1104</v>
      </c>
    </row>
    <row r="106" spans="1:24" x14ac:dyDescent="0.3">
      <c r="A106" t="s">
        <v>154</v>
      </c>
      <c r="B106" s="2">
        <v>45989</v>
      </c>
      <c r="C106" t="s">
        <v>23</v>
      </c>
      <c r="D106" t="s">
        <v>41</v>
      </c>
      <c r="E106" s="3">
        <v>25</v>
      </c>
      <c r="F106" t="s">
        <v>25</v>
      </c>
      <c r="G106" t="s">
        <v>51</v>
      </c>
      <c r="H106" t="s">
        <v>55</v>
      </c>
      <c r="I106" s="4">
        <v>0</v>
      </c>
      <c r="J106" s="5">
        <v>25000</v>
      </c>
      <c r="K106" s="5">
        <v>700</v>
      </c>
      <c r="L106" s="4">
        <v>2.7</v>
      </c>
      <c r="M106" s="3">
        <v>29</v>
      </c>
      <c r="N106" s="3">
        <v>10</v>
      </c>
      <c r="O106" s="3">
        <v>12</v>
      </c>
      <c r="P106" s="4">
        <v>4.8</v>
      </c>
      <c r="Q106" t="s">
        <v>28</v>
      </c>
      <c r="R106" t="s">
        <v>28</v>
      </c>
      <c r="S106" t="s">
        <v>38</v>
      </c>
      <c r="T106" s="2">
        <v>46203</v>
      </c>
      <c r="U106" s="4">
        <v>4</v>
      </c>
      <c r="V106" s="4">
        <v>4.2</v>
      </c>
      <c r="W106" t="str">
        <f t="shared" si="2"/>
        <v>November</v>
      </c>
      <c r="X106">
        <f t="shared" si="3"/>
        <v>1105</v>
      </c>
    </row>
    <row r="107" spans="1:24" x14ac:dyDescent="0.3">
      <c r="A107" t="s">
        <v>155</v>
      </c>
      <c r="B107" s="2">
        <v>44895</v>
      </c>
      <c r="C107" t="s">
        <v>48</v>
      </c>
      <c r="D107" t="s">
        <v>24</v>
      </c>
      <c r="E107" s="3">
        <v>37</v>
      </c>
      <c r="F107" t="s">
        <v>25</v>
      </c>
      <c r="G107" t="s">
        <v>42</v>
      </c>
      <c r="H107" t="s">
        <v>63</v>
      </c>
      <c r="I107" s="4">
        <v>10</v>
      </c>
      <c r="J107" s="5">
        <v>94900</v>
      </c>
      <c r="K107" s="5">
        <v>9400</v>
      </c>
      <c r="L107" s="4">
        <v>3.5</v>
      </c>
      <c r="M107" s="3">
        <v>35</v>
      </c>
      <c r="N107" s="3">
        <v>14</v>
      </c>
      <c r="O107" s="3">
        <v>13</v>
      </c>
      <c r="P107" s="4">
        <v>3.7</v>
      </c>
      <c r="Q107" t="s">
        <v>29</v>
      </c>
      <c r="R107" t="s">
        <v>28</v>
      </c>
      <c r="S107" t="s">
        <v>34</v>
      </c>
      <c r="T107" s="2">
        <v>45535</v>
      </c>
      <c r="U107" s="4">
        <v>3.2</v>
      </c>
      <c r="V107" s="4">
        <v>3.3</v>
      </c>
      <c r="W107" t="str">
        <f t="shared" si="2"/>
        <v>November</v>
      </c>
      <c r="X107">
        <f t="shared" si="3"/>
        <v>1106</v>
      </c>
    </row>
    <row r="108" spans="1:24" x14ac:dyDescent="0.3">
      <c r="A108" t="s">
        <v>156</v>
      </c>
      <c r="B108" s="2">
        <v>44605</v>
      </c>
      <c r="C108" t="s">
        <v>48</v>
      </c>
      <c r="D108" t="s">
        <v>24</v>
      </c>
      <c r="E108" s="3">
        <v>24</v>
      </c>
      <c r="F108" t="s">
        <v>25</v>
      </c>
      <c r="G108" t="s">
        <v>33</v>
      </c>
      <c r="H108" t="s">
        <v>55</v>
      </c>
      <c r="I108" s="4">
        <v>4.9000000000000004</v>
      </c>
      <c r="J108" s="5">
        <v>77000</v>
      </c>
      <c r="K108" s="5">
        <v>7700</v>
      </c>
      <c r="L108" s="4">
        <v>3.4</v>
      </c>
      <c r="M108" s="3">
        <v>27</v>
      </c>
      <c r="N108" s="3">
        <v>18</v>
      </c>
      <c r="O108" s="3">
        <v>7</v>
      </c>
      <c r="P108" s="4">
        <v>4.4000000000000004</v>
      </c>
      <c r="Q108" t="s">
        <v>28</v>
      </c>
      <c r="R108" t="s">
        <v>28</v>
      </c>
      <c r="S108" t="s">
        <v>38</v>
      </c>
      <c r="T108" s="2">
        <v>45531</v>
      </c>
      <c r="U108" s="4">
        <v>4</v>
      </c>
      <c r="V108" s="4">
        <v>4.3</v>
      </c>
      <c r="W108" t="str">
        <f t="shared" si="2"/>
        <v>February</v>
      </c>
      <c r="X108">
        <f t="shared" si="3"/>
        <v>1107</v>
      </c>
    </row>
    <row r="109" spans="1:24" x14ac:dyDescent="0.3">
      <c r="A109" t="s">
        <v>157</v>
      </c>
      <c r="B109" s="2">
        <v>45363</v>
      </c>
      <c r="C109" t="s">
        <v>48</v>
      </c>
      <c r="D109" t="s">
        <v>24</v>
      </c>
      <c r="E109" s="3">
        <v>36</v>
      </c>
      <c r="F109" t="s">
        <v>25</v>
      </c>
      <c r="G109" t="s">
        <v>26</v>
      </c>
      <c r="H109" t="s">
        <v>46</v>
      </c>
      <c r="I109" s="4">
        <v>8.8000000000000007</v>
      </c>
      <c r="J109" s="5">
        <v>77700</v>
      </c>
      <c r="K109" s="5">
        <v>9300</v>
      </c>
      <c r="L109" s="4">
        <v>3.5</v>
      </c>
      <c r="M109" s="3">
        <v>14</v>
      </c>
      <c r="N109" s="3">
        <v>6</v>
      </c>
      <c r="O109" s="3">
        <v>11</v>
      </c>
      <c r="P109" s="4">
        <v>4</v>
      </c>
      <c r="Q109" t="s">
        <v>28</v>
      </c>
      <c r="R109" t="s">
        <v>28</v>
      </c>
      <c r="S109" t="s">
        <v>30</v>
      </c>
      <c r="T109" s="2">
        <v>46203</v>
      </c>
      <c r="U109" s="4">
        <v>1.6</v>
      </c>
      <c r="V109" s="4">
        <v>1.8</v>
      </c>
      <c r="W109" t="str">
        <f t="shared" si="2"/>
        <v>March</v>
      </c>
      <c r="X109">
        <f t="shared" si="3"/>
        <v>1108</v>
      </c>
    </row>
    <row r="110" spans="1:24" x14ac:dyDescent="0.3">
      <c r="A110" t="s">
        <v>158</v>
      </c>
      <c r="B110" s="2">
        <v>45286</v>
      </c>
      <c r="C110" t="s">
        <v>32</v>
      </c>
      <c r="D110" t="s">
        <v>41</v>
      </c>
      <c r="E110" s="3">
        <v>54</v>
      </c>
      <c r="F110" t="s">
        <v>57</v>
      </c>
      <c r="G110" t="s">
        <v>42</v>
      </c>
      <c r="H110" t="s">
        <v>27</v>
      </c>
      <c r="I110" s="4">
        <v>35</v>
      </c>
      <c r="J110" s="5">
        <v>180800</v>
      </c>
      <c r="K110" s="5">
        <v>17800</v>
      </c>
      <c r="L110" s="4">
        <v>4.5999999999999996</v>
      </c>
      <c r="M110" s="3">
        <v>13</v>
      </c>
      <c r="N110" s="3">
        <v>15</v>
      </c>
      <c r="O110" s="3">
        <v>18</v>
      </c>
      <c r="P110" s="4">
        <v>3</v>
      </c>
      <c r="Q110" t="s">
        <v>28</v>
      </c>
      <c r="R110" t="s">
        <v>29</v>
      </c>
      <c r="S110" t="s">
        <v>43</v>
      </c>
      <c r="T110" s="2">
        <v>46040</v>
      </c>
      <c r="U110" s="4">
        <v>4.5999999999999996</v>
      </c>
      <c r="V110" s="4">
        <v>5</v>
      </c>
      <c r="W110" t="str">
        <f t="shared" si="2"/>
        <v>December</v>
      </c>
      <c r="X110">
        <f t="shared" si="3"/>
        <v>1109</v>
      </c>
    </row>
    <row r="111" spans="1:24" x14ac:dyDescent="0.3">
      <c r="A111" t="s">
        <v>159</v>
      </c>
      <c r="B111" s="2">
        <v>45632</v>
      </c>
      <c r="C111" t="s">
        <v>36</v>
      </c>
      <c r="D111" t="s">
        <v>24</v>
      </c>
      <c r="E111" s="3">
        <v>44</v>
      </c>
      <c r="F111" t="s">
        <v>50</v>
      </c>
      <c r="G111" t="s">
        <v>26</v>
      </c>
      <c r="H111" t="s">
        <v>63</v>
      </c>
      <c r="I111" s="4">
        <v>19.2</v>
      </c>
      <c r="J111" s="5">
        <v>111600</v>
      </c>
      <c r="K111" s="5">
        <v>12000</v>
      </c>
      <c r="L111" s="4">
        <v>4.3</v>
      </c>
      <c r="M111" s="3">
        <v>36</v>
      </c>
      <c r="N111" s="3">
        <v>17</v>
      </c>
      <c r="O111" s="3">
        <v>25</v>
      </c>
      <c r="P111" s="4">
        <v>3.7</v>
      </c>
      <c r="Q111" t="s">
        <v>28</v>
      </c>
      <c r="R111" t="s">
        <v>29</v>
      </c>
      <c r="S111" t="s">
        <v>30</v>
      </c>
      <c r="T111" s="2">
        <v>46203</v>
      </c>
      <c r="U111" s="4">
        <v>3.9</v>
      </c>
      <c r="V111" s="4">
        <v>4.7</v>
      </c>
      <c r="W111" t="str">
        <f t="shared" si="2"/>
        <v>December</v>
      </c>
      <c r="X111">
        <f t="shared" si="3"/>
        <v>1110</v>
      </c>
    </row>
    <row r="112" spans="1:24" x14ac:dyDescent="0.3">
      <c r="A112" t="s">
        <v>160</v>
      </c>
      <c r="B112" s="2">
        <v>45950</v>
      </c>
      <c r="C112" t="s">
        <v>48</v>
      </c>
      <c r="D112" t="s">
        <v>24</v>
      </c>
      <c r="E112" s="3">
        <v>47</v>
      </c>
      <c r="F112" t="s">
        <v>25</v>
      </c>
      <c r="G112" t="s">
        <v>26</v>
      </c>
      <c r="H112" t="s">
        <v>27</v>
      </c>
      <c r="I112" s="4">
        <v>26.9</v>
      </c>
      <c r="J112" s="5">
        <v>140100</v>
      </c>
      <c r="K112" s="5">
        <v>4000</v>
      </c>
      <c r="L112" s="4">
        <v>3.8</v>
      </c>
      <c r="M112" s="3">
        <v>34</v>
      </c>
      <c r="N112" s="3">
        <v>6</v>
      </c>
      <c r="O112" s="3">
        <v>10</v>
      </c>
      <c r="P112" s="4">
        <v>4.4000000000000004</v>
      </c>
      <c r="Q112" t="s">
        <v>28</v>
      </c>
      <c r="R112" t="s">
        <v>28</v>
      </c>
      <c r="S112" t="s">
        <v>60</v>
      </c>
      <c r="T112" s="2">
        <v>46203</v>
      </c>
      <c r="U112" s="4">
        <v>3.2</v>
      </c>
      <c r="V112" s="4">
        <v>3.3</v>
      </c>
      <c r="W112" t="str">
        <f t="shared" si="2"/>
        <v>October</v>
      </c>
      <c r="X112">
        <f t="shared" si="3"/>
        <v>1111</v>
      </c>
    </row>
    <row r="113" spans="1:24" x14ac:dyDescent="0.3">
      <c r="A113" t="s">
        <v>161</v>
      </c>
      <c r="B113" s="2">
        <v>45199</v>
      </c>
      <c r="C113" t="s">
        <v>36</v>
      </c>
      <c r="D113" t="s">
        <v>41</v>
      </c>
      <c r="E113" s="3">
        <v>43</v>
      </c>
      <c r="F113" t="s">
        <v>57</v>
      </c>
      <c r="G113" t="s">
        <v>26</v>
      </c>
      <c r="H113" t="s">
        <v>55</v>
      </c>
      <c r="I113" s="4">
        <v>15.9</v>
      </c>
      <c r="J113" s="5">
        <v>96100</v>
      </c>
      <c r="K113" s="5">
        <v>11100</v>
      </c>
      <c r="L113" s="4">
        <v>4.4000000000000004</v>
      </c>
      <c r="M113" s="3">
        <v>26</v>
      </c>
      <c r="N113" s="3">
        <v>10</v>
      </c>
      <c r="O113" s="3">
        <v>1</v>
      </c>
      <c r="P113" s="4">
        <v>4.2</v>
      </c>
      <c r="Q113" t="s">
        <v>28</v>
      </c>
      <c r="R113" t="s">
        <v>29</v>
      </c>
      <c r="S113" t="s">
        <v>38</v>
      </c>
      <c r="T113" s="2">
        <v>45974</v>
      </c>
      <c r="U113" s="4">
        <v>3.8</v>
      </c>
      <c r="V113" s="4">
        <v>4.3</v>
      </c>
      <c r="W113" t="str">
        <f t="shared" si="2"/>
        <v>September</v>
      </c>
      <c r="X113">
        <f t="shared" si="3"/>
        <v>1112</v>
      </c>
    </row>
    <row r="114" spans="1:24" x14ac:dyDescent="0.3">
      <c r="A114" t="s">
        <v>162</v>
      </c>
      <c r="B114" s="2">
        <v>45361</v>
      </c>
      <c r="C114" t="s">
        <v>48</v>
      </c>
      <c r="D114" t="s">
        <v>24</v>
      </c>
      <c r="E114" s="3">
        <v>47</v>
      </c>
      <c r="F114" t="s">
        <v>25</v>
      </c>
      <c r="G114" t="s">
        <v>33</v>
      </c>
      <c r="H114" t="s">
        <v>52</v>
      </c>
      <c r="I114" s="4">
        <v>24.3</v>
      </c>
      <c r="J114" s="5">
        <v>137500</v>
      </c>
      <c r="K114" s="5">
        <v>12000</v>
      </c>
      <c r="L114" s="4">
        <v>4.7</v>
      </c>
      <c r="M114" s="3">
        <v>34</v>
      </c>
      <c r="N114" s="3">
        <v>11</v>
      </c>
      <c r="O114" s="3">
        <v>19</v>
      </c>
      <c r="P114" s="4">
        <v>4.3</v>
      </c>
      <c r="Q114" t="s">
        <v>28</v>
      </c>
      <c r="R114" t="s">
        <v>29</v>
      </c>
      <c r="S114" t="s">
        <v>60</v>
      </c>
      <c r="T114" s="2">
        <v>46203</v>
      </c>
      <c r="U114" s="4">
        <v>3.2</v>
      </c>
      <c r="V114" s="4">
        <v>3.3</v>
      </c>
      <c r="W114" t="str">
        <f t="shared" si="2"/>
        <v>March</v>
      </c>
      <c r="X114">
        <f t="shared" si="3"/>
        <v>1113</v>
      </c>
    </row>
    <row r="115" spans="1:24" x14ac:dyDescent="0.3">
      <c r="A115" t="s">
        <v>163</v>
      </c>
      <c r="B115" s="2">
        <v>44406</v>
      </c>
      <c r="C115" t="s">
        <v>36</v>
      </c>
      <c r="D115" t="s">
        <v>41</v>
      </c>
      <c r="E115" s="3">
        <v>24</v>
      </c>
      <c r="F115" t="s">
        <v>25</v>
      </c>
      <c r="G115" t="s">
        <v>33</v>
      </c>
      <c r="H115" t="s">
        <v>46</v>
      </c>
      <c r="I115" s="4">
        <v>2.2999999999999998</v>
      </c>
      <c r="J115" s="5">
        <v>55000</v>
      </c>
      <c r="K115" s="5">
        <v>3500</v>
      </c>
      <c r="L115" s="4">
        <v>3.2</v>
      </c>
      <c r="M115" s="3">
        <v>11</v>
      </c>
      <c r="N115" s="3">
        <v>2</v>
      </c>
      <c r="O115" s="3">
        <v>8</v>
      </c>
      <c r="P115" s="4">
        <v>5</v>
      </c>
      <c r="Q115" t="s">
        <v>28</v>
      </c>
      <c r="R115" t="s">
        <v>28</v>
      </c>
      <c r="S115" t="s">
        <v>60</v>
      </c>
      <c r="T115" s="2">
        <v>45873</v>
      </c>
      <c r="U115" s="4">
        <v>2.9</v>
      </c>
      <c r="V115" s="4">
        <v>3.3</v>
      </c>
      <c r="W115" t="str">
        <f t="shared" si="2"/>
        <v>July</v>
      </c>
      <c r="X115">
        <f t="shared" si="3"/>
        <v>1114</v>
      </c>
    </row>
    <row r="116" spans="1:24" x14ac:dyDescent="0.3">
      <c r="A116" t="s">
        <v>164</v>
      </c>
      <c r="B116" s="2">
        <v>45846</v>
      </c>
      <c r="C116" t="s">
        <v>36</v>
      </c>
      <c r="D116" t="s">
        <v>24</v>
      </c>
      <c r="E116" s="3">
        <v>45</v>
      </c>
      <c r="F116" t="s">
        <v>25</v>
      </c>
      <c r="G116" t="s">
        <v>26</v>
      </c>
      <c r="H116" t="s">
        <v>46</v>
      </c>
      <c r="I116" s="4">
        <v>20.8</v>
      </c>
      <c r="J116" s="5">
        <v>115600</v>
      </c>
      <c r="K116" s="5">
        <v>3900</v>
      </c>
      <c r="L116" s="4">
        <v>3.6</v>
      </c>
      <c r="M116" s="3">
        <v>12</v>
      </c>
      <c r="N116" s="3">
        <v>12</v>
      </c>
      <c r="O116" s="3">
        <v>18</v>
      </c>
      <c r="P116" s="4">
        <v>4.5</v>
      </c>
      <c r="Q116" t="s">
        <v>29</v>
      </c>
      <c r="R116" t="s">
        <v>28</v>
      </c>
      <c r="S116" t="s">
        <v>34</v>
      </c>
      <c r="T116" s="2">
        <v>46203</v>
      </c>
      <c r="U116" s="4">
        <v>3.2</v>
      </c>
      <c r="V116" s="4">
        <v>3.4</v>
      </c>
      <c r="W116" t="str">
        <f t="shared" si="2"/>
        <v>July</v>
      </c>
      <c r="X116">
        <f t="shared" si="3"/>
        <v>1115</v>
      </c>
    </row>
    <row r="117" spans="1:24" x14ac:dyDescent="0.3">
      <c r="A117" t="s">
        <v>165</v>
      </c>
      <c r="B117" s="2">
        <v>45900</v>
      </c>
      <c r="C117" t="s">
        <v>23</v>
      </c>
      <c r="D117" t="s">
        <v>24</v>
      </c>
      <c r="E117" s="3">
        <v>42</v>
      </c>
      <c r="F117" t="s">
        <v>25</v>
      </c>
      <c r="G117" t="s">
        <v>51</v>
      </c>
      <c r="H117" t="s">
        <v>46</v>
      </c>
      <c r="I117" s="4">
        <v>18.3</v>
      </c>
      <c r="J117" s="5">
        <v>96300</v>
      </c>
      <c r="K117" s="5">
        <v>3700</v>
      </c>
      <c r="L117" s="4">
        <v>3.2</v>
      </c>
      <c r="M117" s="3">
        <v>18</v>
      </c>
      <c r="N117" s="3">
        <v>13</v>
      </c>
      <c r="O117" s="3">
        <v>25</v>
      </c>
      <c r="P117" s="4">
        <v>3.6</v>
      </c>
      <c r="Q117" t="s">
        <v>28</v>
      </c>
      <c r="R117" t="s">
        <v>28</v>
      </c>
      <c r="S117" t="s">
        <v>43</v>
      </c>
      <c r="T117" s="2">
        <v>46203</v>
      </c>
      <c r="U117" s="4">
        <v>3.7</v>
      </c>
      <c r="V117" s="4">
        <v>4.2</v>
      </c>
      <c r="W117" t="str">
        <f t="shared" si="2"/>
        <v>August</v>
      </c>
      <c r="X117">
        <f t="shared" si="3"/>
        <v>1116</v>
      </c>
    </row>
    <row r="118" spans="1:24" x14ac:dyDescent="0.3">
      <c r="A118" t="s">
        <v>166</v>
      </c>
      <c r="B118" s="2">
        <v>45891</v>
      </c>
      <c r="C118" t="s">
        <v>54</v>
      </c>
      <c r="D118" t="s">
        <v>41</v>
      </c>
      <c r="E118" s="3">
        <v>54</v>
      </c>
      <c r="F118" t="s">
        <v>25</v>
      </c>
      <c r="G118" t="s">
        <v>26</v>
      </c>
      <c r="H118" t="s">
        <v>55</v>
      </c>
      <c r="I118" s="4">
        <v>31.6</v>
      </c>
      <c r="J118" s="5">
        <v>152400</v>
      </c>
      <c r="K118" s="5">
        <v>18100</v>
      </c>
      <c r="L118" s="4">
        <v>1.9</v>
      </c>
      <c r="M118" s="3">
        <v>19</v>
      </c>
      <c r="N118" s="3">
        <v>10</v>
      </c>
      <c r="O118" s="3">
        <v>7</v>
      </c>
      <c r="P118" s="4">
        <v>2.8</v>
      </c>
      <c r="Q118" t="s">
        <v>28</v>
      </c>
      <c r="R118" t="s">
        <v>28</v>
      </c>
      <c r="S118" t="s">
        <v>30</v>
      </c>
      <c r="T118" s="2">
        <v>46203</v>
      </c>
      <c r="U118" s="4">
        <v>3.3</v>
      </c>
      <c r="V118" s="4">
        <v>3.3</v>
      </c>
      <c r="W118" t="str">
        <f t="shared" si="2"/>
        <v>August</v>
      </c>
      <c r="X118">
        <f t="shared" si="3"/>
        <v>1117</v>
      </c>
    </row>
    <row r="119" spans="1:24" x14ac:dyDescent="0.3">
      <c r="A119" t="s">
        <v>167</v>
      </c>
      <c r="B119" s="2">
        <v>44619</v>
      </c>
      <c r="C119" t="s">
        <v>23</v>
      </c>
      <c r="D119" t="s">
        <v>24</v>
      </c>
      <c r="E119" s="3">
        <v>39</v>
      </c>
      <c r="F119" t="s">
        <v>25</v>
      </c>
      <c r="G119" t="s">
        <v>51</v>
      </c>
      <c r="H119" t="s">
        <v>55</v>
      </c>
      <c r="I119" s="4">
        <v>15.2</v>
      </c>
      <c r="J119" s="5">
        <v>87000</v>
      </c>
      <c r="K119" s="5">
        <v>8500</v>
      </c>
      <c r="L119" s="4">
        <v>2.9</v>
      </c>
      <c r="M119" s="3">
        <v>31</v>
      </c>
      <c r="N119" s="3">
        <v>15</v>
      </c>
      <c r="O119" s="3">
        <v>29</v>
      </c>
      <c r="P119" s="4">
        <v>4.0999999999999996</v>
      </c>
      <c r="Q119" t="s">
        <v>28</v>
      </c>
      <c r="R119" t="s">
        <v>28</v>
      </c>
      <c r="S119" t="s">
        <v>43</v>
      </c>
      <c r="T119" s="2">
        <v>45139</v>
      </c>
      <c r="U119" s="4">
        <v>3.8</v>
      </c>
      <c r="V119" s="4">
        <v>3.9</v>
      </c>
      <c r="W119" t="str">
        <f t="shared" si="2"/>
        <v>February</v>
      </c>
      <c r="X119">
        <f t="shared" si="3"/>
        <v>1118</v>
      </c>
    </row>
    <row r="120" spans="1:24" x14ac:dyDescent="0.3">
      <c r="A120" t="s">
        <v>168</v>
      </c>
      <c r="B120" s="2">
        <v>45873</v>
      </c>
      <c r="C120" t="s">
        <v>23</v>
      </c>
      <c r="D120" t="s">
        <v>24</v>
      </c>
      <c r="E120" s="3">
        <v>40</v>
      </c>
      <c r="F120" t="s">
        <v>25</v>
      </c>
      <c r="G120" t="s">
        <v>26</v>
      </c>
      <c r="H120" t="s">
        <v>63</v>
      </c>
      <c r="I120" s="4">
        <v>20.7</v>
      </c>
      <c r="J120" s="5">
        <v>100800</v>
      </c>
      <c r="K120" s="5">
        <v>3800</v>
      </c>
      <c r="L120" s="4">
        <v>3.8</v>
      </c>
      <c r="M120" s="3">
        <v>24</v>
      </c>
      <c r="N120" s="3">
        <v>8</v>
      </c>
      <c r="O120" s="3">
        <v>3</v>
      </c>
      <c r="P120" s="4">
        <v>3.6</v>
      </c>
      <c r="Q120" t="s">
        <v>28</v>
      </c>
      <c r="R120" t="s">
        <v>28</v>
      </c>
      <c r="S120" t="s">
        <v>60</v>
      </c>
      <c r="T120" s="2">
        <v>46203</v>
      </c>
      <c r="U120" s="4">
        <v>3.7</v>
      </c>
      <c r="V120" s="4">
        <v>4.4000000000000004</v>
      </c>
      <c r="W120" t="str">
        <f t="shared" si="2"/>
        <v>August</v>
      </c>
      <c r="X120">
        <f t="shared" si="3"/>
        <v>1119</v>
      </c>
    </row>
    <row r="121" spans="1:24" x14ac:dyDescent="0.3">
      <c r="A121" t="s">
        <v>169</v>
      </c>
      <c r="B121" s="2">
        <v>44283</v>
      </c>
      <c r="C121" t="s">
        <v>48</v>
      </c>
      <c r="D121" t="s">
        <v>24</v>
      </c>
      <c r="E121" s="3">
        <v>33</v>
      </c>
      <c r="F121" t="s">
        <v>25</v>
      </c>
      <c r="G121" t="s">
        <v>26</v>
      </c>
      <c r="H121" t="s">
        <v>46</v>
      </c>
      <c r="I121" s="4">
        <v>15.9</v>
      </c>
      <c r="J121" s="5">
        <v>90100</v>
      </c>
      <c r="K121" s="5">
        <v>2700</v>
      </c>
      <c r="L121" s="4">
        <v>3.5</v>
      </c>
      <c r="M121" s="3">
        <v>16</v>
      </c>
      <c r="N121" s="3">
        <v>11</v>
      </c>
      <c r="O121" s="3">
        <v>11</v>
      </c>
      <c r="P121" s="4">
        <v>3.6</v>
      </c>
      <c r="Q121" t="s">
        <v>29</v>
      </c>
      <c r="R121" t="s">
        <v>28</v>
      </c>
      <c r="S121" t="s">
        <v>43</v>
      </c>
      <c r="T121" s="2">
        <v>45514</v>
      </c>
      <c r="U121" s="4">
        <v>3.4</v>
      </c>
      <c r="V121" s="4">
        <v>3.7</v>
      </c>
      <c r="W121" t="str">
        <f t="shared" si="2"/>
        <v>March</v>
      </c>
      <c r="X121">
        <f t="shared" si="3"/>
        <v>1120</v>
      </c>
    </row>
    <row r="122" spans="1:24" x14ac:dyDescent="0.3">
      <c r="A122" t="s">
        <v>170</v>
      </c>
      <c r="B122" s="2">
        <v>44578</v>
      </c>
      <c r="C122" t="s">
        <v>32</v>
      </c>
      <c r="D122" t="s">
        <v>24</v>
      </c>
      <c r="E122" s="3">
        <v>30</v>
      </c>
      <c r="F122" t="s">
        <v>25</v>
      </c>
      <c r="G122" t="s">
        <v>26</v>
      </c>
      <c r="H122" t="s">
        <v>52</v>
      </c>
      <c r="I122" s="4">
        <v>3.6</v>
      </c>
      <c r="J122" s="5">
        <v>55600</v>
      </c>
      <c r="K122" s="5">
        <v>3600</v>
      </c>
      <c r="L122" s="4">
        <v>3.2</v>
      </c>
      <c r="M122" s="3">
        <v>11</v>
      </c>
      <c r="N122" s="3">
        <v>19</v>
      </c>
      <c r="O122" s="3">
        <v>20</v>
      </c>
      <c r="P122" s="4">
        <v>2.7</v>
      </c>
      <c r="Q122" t="s">
        <v>29</v>
      </c>
      <c r="R122" t="s">
        <v>28</v>
      </c>
      <c r="S122" t="s">
        <v>38</v>
      </c>
      <c r="T122" s="2">
        <v>45297</v>
      </c>
      <c r="U122" s="4">
        <v>3.8</v>
      </c>
      <c r="V122" s="4">
        <v>4.5</v>
      </c>
      <c r="W122" t="str">
        <f t="shared" si="2"/>
        <v>January</v>
      </c>
      <c r="X122">
        <f t="shared" si="3"/>
        <v>1121</v>
      </c>
    </row>
    <row r="123" spans="1:24" x14ac:dyDescent="0.3">
      <c r="A123" t="s">
        <v>171</v>
      </c>
      <c r="B123" s="2">
        <v>44802</v>
      </c>
      <c r="C123" t="s">
        <v>23</v>
      </c>
      <c r="D123" t="s">
        <v>24</v>
      </c>
      <c r="E123" s="3">
        <v>52</v>
      </c>
      <c r="F123" t="s">
        <v>25</v>
      </c>
      <c r="G123" t="s">
        <v>33</v>
      </c>
      <c r="H123" t="s">
        <v>46</v>
      </c>
      <c r="I123" s="4">
        <v>22.8</v>
      </c>
      <c r="J123" s="5">
        <v>120100</v>
      </c>
      <c r="K123" s="5">
        <v>9900</v>
      </c>
      <c r="L123" s="4">
        <v>2.9</v>
      </c>
      <c r="M123" s="3">
        <v>29</v>
      </c>
      <c r="N123" s="3">
        <v>10</v>
      </c>
      <c r="O123" s="3">
        <v>15</v>
      </c>
      <c r="P123" s="4">
        <v>3</v>
      </c>
      <c r="Q123" t="s">
        <v>28</v>
      </c>
      <c r="R123" t="s">
        <v>28</v>
      </c>
      <c r="S123" t="s">
        <v>34</v>
      </c>
      <c r="T123" s="2">
        <v>45250</v>
      </c>
      <c r="U123" s="4">
        <v>4.2</v>
      </c>
      <c r="V123" s="4">
        <v>4.3</v>
      </c>
      <c r="W123" t="str">
        <f t="shared" si="2"/>
        <v>August</v>
      </c>
      <c r="X123">
        <f t="shared" si="3"/>
        <v>1122</v>
      </c>
    </row>
    <row r="124" spans="1:24" x14ac:dyDescent="0.3">
      <c r="A124" t="s">
        <v>172</v>
      </c>
      <c r="B124" s="2">
        <v>45594</v>
      </c>
      <c r="C124" t="s">
        <v>40</v>
      </c>
      <c r="D124" t="s">
        <v>24</v>
      </c>
      <c r="E124" s="3">
        <v>45</v>
      </c>
      <c r="F124" t="s">
        <v>50</v>
      </c>
      <c r="G124" t="s">
        <v>51</v>
      </c>
      <c r="H124" t="s">
        <v>63</v>
      </c>
      <c r="I124" s="4">
        <v>16.3</v>
      </c>
      <c r="J124" s="5">
        <v>79500</v>
      </c>
      <c r="K124" s="5">
        <v>8900</v>
      </c>
      <c r="L124" s="4">
        <v>4.3</v>
      </c>
      <c r="M124" s="3">
        <v>25</v>
      </c>
      <c r="N124" s="3">
        <v>11</v>
      </c>
      <c r="O124" s="3">
        <v>11</v>
      </c>
      <c r="P124" s="4">
        <v>2.4</v>
      </c>
      <c r="Q124" t="s">
        <v>28</v>
      </c>
      <c r="R124" t="s">
        <v>29</v>
      </c>
      <c r="S124" t="s">
        <v>43</v>
      </c>
      <c r="T124" s="2">
        <v>46203</v>
      </c>
      <c r="U124" s="4">
        <v>4.2</v>
      </c>
      <c r="V124" s="4">
        <v>4.9000000000000004</v>
      </c>
      <c r="W124" t="str">
        <f t="shared" si="2"/>
        <v>October</v>
      </c>
      <c r="X124">
        <f t="shared" si="3"/>
        <v>1123</v>
      </c>
    </row>
    <row r="125" spans="1:24" x14ac:dyDescent="0.3">
      <c r="A125" t="s">
        <v>173</v>
      </c>
      <c r="B125" s="2">
        <v>45209</v>
      </c>
      <c r="C125" t="s">
        <v>48</v>
      </c>
      <c r="D125" t="s">
        <v>24</v>
      </c>
      <c r="E125" s="3">
        <v>38</v>
      </c>
      <c r="F125" t="s">
        <v>25</v>
      </c>
      <c r="G125" t="s">
        <v>26</v>
      </c>
      <c r="H125" t="s">
        <v>37</v>
      </c>
      <c r="I125" s="4">
        <v>19.7</v>
      </c>
      <c r="J125" s="5">
        <v>110800</v>
      </c>
      <c r="K125" s="5">
        <v>7800</v>
      </c>
      <c r="L125" s="4">
        <v>4.2</v>
      </c>
      <c r="M125" s="3">
        <v>7</v>
      </c>
      <c r="N125" s="3">
        <v>13</v>
      </c>
      <c r="O125" s="3">
        <v>0</v>
      </c>
      <c r="P125" s="4">
        <v>4.9000000000000004</v>
      </c>
      <c r="Q125" t="s">
        <v>28</v>
      </c>
      <c r="R125" t="s">
        <v>29</v>
      </c>
      <c r="S125" t="s">
        <v>38</v>
      </c>
      <c r="T125" s="2">
        <v>46203</v>
      </c>
      <c r="U125" s="4">
        <v>3</v>
      </c>
      <c r="V125" s="4">
        <v>3.5</v>
      </c>
      <c r="W125" t="str">
        <f t="shared" si="2"/>
        <v>October</v>
      </c>
      <c r="X125">
        <f t="shared" si="3"/>
        <v>1124</v>
      </c>
    </row>
    <row r="126" spans="1:24" x14ac:dyDescent="0.3">
      <c r="A126" t="s">
        <v>174</v>
      </c>
      <c r="B126" s="2">
        <v>44586</v>
      </c>
      <c r="C126" t="s">
        <v>32</v>
      </c>
      <c r="D126" t="s">
        <v>41</v>
      </c>
      <c r="E126" s="3">
        <v>59</v>
      </c>
      <c r="F126" t="s">
        <v>25</v>
      </c>
      <c r="G126" t="s">
        <v>33</v>
      </c>
      <c r="H126" t="s">
        <v>27</v>
      </c>
      <c r="I126" s="4">
        <v>35</v>
      </c>
      <c r="J126" s="5">
        <v>179100</v>
      </c>
      <c r="K126" s="5">
        <v>6100</v>
      </c>
      <c r="L126" s="4">
        <v>3.4</v>
      </c>
      <c r="M126" s="3">
        <v>18</v>
      </c>
      <c r="N126" s="3">
        <v>8</v>
      </c>
      <c r="O126" s="3">
        <v>6</v>
      </c>
      <c r="P126" s="4">
        <v>4.4000000000000004</v>
      </c>
      <c r="Q126" t="s">
        <v>29</v>
      </c>
      <c r="R126" t="s">
        <v>28</v>
      </c>
      <c r="S126" t="s">
        <v>43</v>
      </c>
      <c r="T126" s="2">
        <v>45731</v>
      </c>
      <c r="U126" s="4">
        <v>3.4</v>
      </c>
      <c r="V126" s="4">
        <v>3.7</v>
      </c>
      <c r="W126" t="str">
        <f t="shared" si="2"/>
        <v>January</v>
      </c>
      <c r="X126">
        <f t="shared" si="3"/>
        <v>1125</v>
      </c>
    </row>
    <row r="127" spans="1:24" x14ac:dyDescent="0.3">
      <c r="A127" t="s">
        <v>175</v>
      </c>
      <c r="B127" s="2">
        <v>44355</v>
      </c>
      <c r="C127" t="s">
        <v>48</v>
      </c>
      <c r="D127" t="s">
        <v>41</v>
      </c>
      <c r="E127" s="3">
        <v>57</v>
      </c>
      <c r="F127" t="s">
        <v>57</v>
      </c>
      <c r="G127" t="s">
        <v>33</v>
      </c>
      <c r="H127" t="s">
        <v>37</v>
      </c>
      <c r="I127" s="4">
        <v>30.7</v>
      </c>
      <c r="J127" s="5">
        <v>148000</v>
      </c>
      <c r="K127" s="5">
        <v>8800</v>
      </c>
      <c r="L127" s="4">
        <v>3</v>
      </c>
      <c r="M127" s="3">
        <v>8</v>
      </c>
      <c r="N127" s="3">
        <v>17</v>
      </c>
      <c r="O127" s="3">
        <v>16</v>
      </c>
      <c r="P127" s="4">
        <v>3.6</v>
      </c>
      <c r="Q127" t="s">
        <v>29</v>
      </c>
      <c r="R127" t="s">
        <v>28</v>
      </c>
      <c r="S127" t="s">
        <v>60</v>
      </c>
      <c r="T127" s="2">
        <v>44645</v>
      </c>
      <c r="U127" s="4">
        <v>3.2</v>
      </c>
      <c r="V127" s="4">
        <v>3.3</v>
      </c>
      <c r="W127" t="str">
        <f t="shared" si="2"/>
        <v>June</v>
      </c>
      <c r="X127">
        <f t="shared" si="3"/>
        <v>1126</v>
      </c>
    </row>
    <row r="128" spans="1:24" x14ac:dyDescent="0.3">
      <c r="A128" t="s">
        <v>176</v>
      </c>
      <c r="B128" s="2">
        <v>44255</v>
      </c>
      <c r="C128" t="s">
        <v>40</v>
      </c>
      <c r="D128" t="s">
        <v>41</v>
      </c>
      <c r="E128" s="3">
        <v>53</v>
      </c>
      <c r="F128" t="s">
        <v>25</v>
      </c>
      <c r="G128" t="s">
        <v>26</v>
      </c>
      <c r="H128" t="s">
        <v>55</v>
      </c>
      <c r="I128" s="4">
        <v>30.6</v>
      </c>
      <c r="J128" s="5">
        <v>142000</v>
      </c>
      <c r="K128" s="5">
        <v>8500</v>
      </c>
      <c r="L128" s="4">
        <v>3.3</v>
      </c>
      <c r="M128" s="3">
        <v>34</v>
      </c>
      <c r="N128" s="3">
        <v>14</v>
      </c>
      <c r="O128" s="3">
        <v>3</v>
      </c>
      <c r="P128" s="4">
        <v>3.1</v>
      </c>
      <c r="Q128" t="s">
        <v>28</v>
      </c>
      <c r="R128" t="s">
        <v>28</v>
      </c>
      <c r="S128" t="s">
        <v>34</v>
      </c>
      <c r="T128" s="2">
        <v>45336</v>
      </c>
      <c r="U128" s="4">
        <v>3.6</v>
      </c>
      <c r="V128" s="4">
        <v>4.4000000000000004</v>
      </c>
      <c r="W128" t="str">
        <f t="shared" si="2"/>
        <v>February</v>
      </c>
      <c r="X128">
        <f t="shared" si="3"/>
        <v>1127</v>
      </c>
    </row>
    <row r="129" spans="1:24" x14ac:dyDescent="0.3">
      <c r="A129" t="s">
        <v>177</v>
      </c>
      <c r="B129" s="2">
        <v>45021</v>
      </c>
      <c r="C129" t="s">
        <v>54</v>
      </c>
      <c r="D129" t="s">
        <v>41</v>
      </c>
      <c r="E129" s="3">
        <v>60</v>
      </c>
      <c r="F129" t="s">
        <v>57</v>
      </c>
      <c r="G129" t="s">
        <v>26</v>
      </c>
      <c r="H129" t="s">
        <v>27</v>
      </c>
      <c r="I129" s="4">
        <v>34.1</v>
      </c>
      <c r="J129" s="5">
        <v>159600</v>
      </c>
      <c r="K129" s="5">
        <v>14500</v>
      </c>
      <c r="L129" s="4">
        <v>4.4000000000000004</v>
      </c>
      <c r="M129" s="3">
        <v>15</v>
      </c>
      <c r="N129" s="3">
        <v>14</v>
      </c>
      <c r="O129" s="3">
        <v>22</v>
      </c>
      <c r="P129" s="4">
        <v>3.5</v>
      </c>
      <c r="Q129" t="s">
        <v>28</v>
      </c>
      <c r="R129" t="s">
        <v>29</v>
      </c>
      <c r="S129" t="s">
        <v>43</v>
      </c>
      <c r="T129" s="2">
        <v>45934</v>
      </c>
      <c r="U129" s="4">
        <v>4.9000000000000004</v>
      </c>
      <c r="V129" s="4">
        <v>5</v>
      </c>
      <c r="W129" t="str">
        <f t="shared" si="2"/>
        <v>April</v>
      </c>
      <c r="X129">
        <f t="shared" si="3"/>
        <v>1128</v>
      </c>
    </row>
    <row r="130" spans="1:24" x14ac:dyDescent="0.3">
      <c r="A130" t="s">
        <v>178</v>
      </c>
      <c r="B130" s="2">
        <v>45941</v>
      </c>
      <c r="C130" t="s">
        <v>54</v>
      </c>
      <c r="D130" t="s">
        <v>41</v>
      </c>
      <c r="E130" s="3">
        <v>43</v>
      </c>
      <c r="F130" t="s">
        <v>57</v>
      </c>
      <c r="G130" t="s">
        <v>26</v>
      </c>
      <c r="H130" t="s">
        <v>55</v>
      </c>
      <c r="I130" s="4">
        <v>21.1</v>
      </c>
      <c r="J130" s="5">
        <v>104900</v>
      </c>
      <c r="K130" s="5">
        <v>10000</v>
      </c>
      <c r="L130" s="4">
        <v>2.6</v>
      </c>
      <c r="M130" s="3">
        <v>20</v>
      </c>
      <c r="N130" s="3">
        <v>15</v>
      </c>
      <c r="O130" s="3">
        <v>28</v>
      </c>
      <c r="P130" s="4">
        <v>4.2</v>
      </c>
      <c r="Q130" t="s">
        <v>28</v>
      </c>
      <c r="R130" t="s">
        <v>28</v>
      </c>
      <c r="S130" t="s">
        <v>30</v>
      </c>
      <c r="T130" s="2">
        <v>46203</v>
      </c>
      <c r="U130" s="4">
        <v>3.1</v>
      </c>
      <c r="V130" s="4">
        <v>3.3</v>
      </c>
      <c r="W130" t="str">
        <f t="shared" ref="W130:W193" si="4">TEXT(B130,"mmmm")</f>
        <v>October</v>
      </c>
      <c r="X130">
        <f t="shared" ref="X130:X193" si="5">VALUE(RIGHT(A130,LEN(A130)-3))</f>
        <v>1129</v>
      </c>
    </row>
    <row r="131" spans="1:24" x14ac:dyDescent="0.3">
      <c r="A131" t="s">
        <v>179</v>
      </c>
      <c r="B131" s="2">
        <v>44218</v>
      </c>
      <c r="C131" t="s">
        <v>32</v>
      </c>
      <c r="D131" t="s">
        <v>24</v>
      </c>
      <c r="E131" s="3">
        <v>45</v>
      </c>
      <c r="F131" t="s">
        <v>25</v>
      </c>
      <c r="G131" t="s">
        <v>33</v>
      </c>
      <c r="H131" t="s">
        <v>52</v>
      </c>
      <c r="I131" s="4">
        <v>18.100000000000001</v>
      </c>
      <c r="J131" s="5">
        <v>110700</v>
      </c>
      <c r="K131" s="5">
        <v>12500</v>
      </c>
      <c r="L131" s="4">
        <v>4.0999999999999996</v>
      </c>
      <c r="M131" s="3">
        <v>26</v>
      </c>
      <c r="N131" s="3">
        <v>10</v>
      </c>
      <c r="O131" s="3">
        <v>12</v>
      </c>
      <c r="P131" s="4">
        <v>2.9</v>
      </c>
      <c r="Q131" t="s">
        <v>28</v>
      </c>
      <c r="R131" t="s">
        <v>29</v>
      </c>
      <c r="S131" t="s">
        <v>30</v>
      </c>
      <c r="T131" s="2">
        <v>44860</v>
      </c>
      <c r="U131" s="4">
        <v>3.6</v>
      </c>
      <c r="V131" s="4">
        <v>4.3</v>
      </c>
      <c r="W131" t="str">
        <f t="shared" si="4"/>
        <v>January</v>
      </c>
      <c r="X131">
        <f t="shared" si="5"/>
        <v>1130</v>
      </c>
    </row>
    <row r="132" spans="1:24" x14ac:dyDescent="0.3">
      <c r="A132" t="s">
        <v>180</v>
      </c>
      <c r="B132" s="2">
        <v>44422</v>
      </c>
      <c r="C132" t="s">
        <v>23</v>
      </c>
      <c r="D132" t="s">
        <v>24</v>
      </c>
      <c r="E132" s="3">
        <v>55</v>
      </c>
      <c r="F132" t="s">
        <v>25</v>
      </c>
      <c r="G132" t="s">
        <v>26</v>
      </c>
      <c r="H132" t="s">
        <v>52</v>
      </c>
      <c r="I132" s="4">
        <v>35</v>
      </c>
      <c r="J132" s="5">
        <v>147500</v>
      </c>
      <c r="K132" s="5">
        <v>13900</v>
      </c>
      <c r="L132" s="4">
        <v>3.7</v>
      </c>
      <c r="M132" s="3">
        <v>38</v>
      </c>
      <c r="N132" s="3">
        <v>5</v>
      </c>
      <c r="O132" s="3">
        <v>23</v>
      </c>
      <c r="P132" s="4">
        <v>2.6</v>
      </c>
      <c r="Q132" t="s">
        <v>29</v>
      </c>
      <c r="R132" t="s">
        <v>28</v>
      </c>
      <c r="S132" t="s">
        <v>38</v>
      </c>
      <c r="T132" s="2">
        <v>45831</v>
      </c>
      <c r="U132" s="4">
        <v>4.0999999999999996</v>
      </c>
      <c r="V132" s="4">
        <v>4.9000000000000004</v>
      </c>
      <c r="W132" t="str">
        <f t="shared" si="4"/>
        <v>August</v>
      </c>
      <c r="X132">
        <f t="shared" si="5"/>
        <v>1131</v>
      </c>
    </row>
    <row r="133" spans="1:24" x14ac:dyDescent="0.3">
      <c r="A133" t="s">
        <v>181</v>
      </c>
      <c r="B133" s="2">
        <v>44239</v>
      </c>
      <c r="C133" t="s">
        <v>36</v>
      </c>
      <c r="D133" t="s">
        <v>41</v>
      </c>
      <c r="E133" s="3">
        <v>56</v>
      </c>
      <c r="F133" t="s">
        <v>25</v>
      </c>
      <c r="G133" t="s">
        <v>26</v>
      </c>
      <c r="H133" t="s">
        <v>46</v>
      </c>
      <c r="I133" s="4">
        <v>35</v>
      </c>
      <c r="J133" s="5">
        <v>152000</v>
      </c>
      <c r="K133" s="5">
        <v>3400</v>
      </c>
      <c r="L133" s="4">
        <v>3.8</v>
      </c>
      <c r="M133" s="3">
        <v>37</v>
      </c>
      <c r="N133" s="3">
        <v>12</v>
      </c>
      <c r="O133" s="3">
        <v>0</v>
      </c>
      <c r="P133" s="4">
        <v>2.8</v>
      </c>
      <c r="Q133" t="s">
        <v>28</v>
      </c>
      <c r="R133" t="s">
        <v>28</v>
      </c>
      <c r="S133" t="s">
        <v>38</v>
      </c>
      <c r="T133" s="2">
        <v>45392</v>
      </c>
      <c r="U133" s="4">
        <v>4.4000000000000004</v>
      </c>
      <c r="V133" s="4">
        <v>4.9000000000000004</v>
      </c>
      <c r="W133" t="str">
        <f t="shared" si="4"/>
        <v>February</v>
      </c>
      <c r="X133">
        <f t="shared" si="5"/>
        <v>1132</v>
      </c>
    </row>
    <row r="134" spans="1:24" x14ac:dyDescent="0.3">
      <c r="A134" t="s">
        <v>182</v>
      </c>
      <c r="B134" s="2">
        <v>45387</v>
      </c>
      <c r="C134" t="s">
        <v>36</v>
      </c>
      <c r="D134" t="s">
        <v>24</v>
      </c>
      <c r="E134" s="3">
        <v>58</v>
      </c>
      <c r="F134" t="s">
        <v>25</v>
      </c>
      <c r="G134" t="s">
        <v>33</v>
      </c>
      <c r="H134" t="s">
        <v>52</v>
      </c>
      <c r="I134" s="4">
        <v>35</v>
      </c>
      <c r="J134" s="5">
        <v>169700</v>
      </c>
      <c r="K134" s="5">
        <v>9100</v>
      </c>
      <c r="L134" s="4">
        <v>3.8</v>
      </c>
      <c r="M134" s="3">
        <v>32</v>
      </c>
      <c r="N134" s="3">
        <v>4</v>
      </c>
      <c r="O134" s="3">
        <v>12</v>
      </c>
      <c r="P134" s="4">
        <v>5</v>
      </c>
      <c r="Q134" t="s">
        <v>28</v>
      </c>
      <c r="R134" t="s">
        <v>28</v>
      </c>
      <c r="S134" t="s">
        <v>34</v>
      </c>
      <c r="T134" s="2">
        <v>46203</v>
      </c>
      <c r="U134" s="4">
        <v>3.7</v>
      </c>
      <c r="V134" s="4">
        <v>4</v>
      </c>
      <c r="W134" t="str">
        <f t="shared" si="4"/>
        <v>April</v>
      </c>
      <c r="X134">
        <f t="shared" si="5"/>
        <v>1133</v>
      </c>
    </row>
    <row r="135" spans="1:24" x14ac:dyDescent="0.3">
      <c r="A135" t="s">
        <v>183</v>
      </c>
      <c r="B135" s="2">
        <v>45723</v>
      </c>
      <c r="C135" t="s">
        <v>36</v>
      </c>
      <c r="D135" t="s">
        <v>41</v>
      </c>
      <c r="E135" s="3">
        <v>25</v>
      </c>
      <c r="F135" t="s">
        <v>25</v>
      </c>
      <c r="G135" t="s">
        <v>51</v>
      </c>
      <c r="H135" t="s">
        <v>55</v>
      </c>
      <c r="I135" s="4">
        <v>0</v>
      </c>
      <c r="J135" s="5">
        <v>26700</v>
      </c>
      <c r="K135" s="5">
        <v>2300</v>
      </c>
      <c r="L135" s="4">
        <v>3.3</v>
      </c>
      <c r="M135" s="3">
        <v>11</v>
      </c>
      <c r="N135" s="3">
        <v>10</v>
      </c>
      <c r="O135" s="3">
        <v>21</v>
      </c>
      <c r="P135" s="4">
        <v>3.2</v>
      </c>
      <c r="Q135" t="s">
        <v>28</v>
      </c>
      <c r="R135" t="s">
        <v>28</v>
      </c>
      <c r="S135" t="s">
        <v>38</v>
      </c>
      <c r="T135" s="2">
        <v>46203</v>
      </c>
      <c r="U135" s="4">
        <v>2.9</v>
      </c>
      <c r="V135" s="4">
        <v>3.1</v>
      </c>
      <c r="W135" t="str">
        <f t="shared" si="4"/>
        <v>March</v>
      </c>
      <c r="X135">
        <f t="shared" si="5"/>
        <v>1134</v>
      </c>
    </row>
    <row r="136" spans="1:24" x14ac:dyDescent="0.3">
      <c r="A136" t="s">
        <v>184</v>
      </c>
      <c r="B136" s="2">
        <v>45916</v>
      </c>
      <c r="C136" t="s">
        <v>36</v>
      </c>
      <c r="D136" t="s">
        <v>24</v>
      </c>
      <c r="E136" s="3">
        <v>36</v>
      </c>
      <c r="F136" t="s">
        <v>25</v>
      </c>
      <c r="G136" t="s">
        <v>33</v>
      </c>
      <c r="H136" t="s">
        <v>46</v>
      </c>
      <c r="I136" s="4">
        <v>11.3</v>
      </c>
      <c r="J136" s="5">
        <v>89800</v>
      </c>
      <c r="K136" s="5">
        <v>4300</v>
      </c>
      <c r="L136" s="4">
        <v>3.7</v>
      </c>
      <c r="M136" s="3">
        <v>20</v>
      </c>
      <c r="N136" s="3">
        <v>18</v>
      </c>
      <c r="O136" s="3">
        <v>12</v>
      </c>
      <c r="P136" s="4">
        <v>4.0999999999999996</v>
      </c>
      <c r="Q136" t="s">
        <v>28</v>
      </c>
      <c r="R136" t="s">
        <v>28</v>
      </c>
      <c r="S136" t="s">
        <v>38</v>
      </c>
      <c r="T136" s="2">
        <v>46203</v>
      </c>
      <c r="U136" s="4">
        <v>3.2</v>
      </c>
      <c r="V136" s="4">
        <v>3.4</v>
      </c>
      <c r="W136" t="str">
        <f t="shared" si="4"/>
        <v>September</v>
      </c>
      <c r="X136">
        <f t="shared" si="5"/>
        <v>1135</v>
      </c>
    </row>
    <row r="137" spans="1:24" x14ac:dyDescent="0.3">
      <c r="A137" t="s">
        <v>185</v>
      </c>
      <c r="B137" s="2">
        <v>44866</v>
      </c>
      <c r="C137" t="s">
        <v>32</v>
      </c>
      <c r="D137" t="s">
        <v>41</v>
      </c>
      <c r="E137" s="3">
        <v>38</v>
      </c>
      <c r="F137" t="s">
        <v>25</v>
      </c>
      <c r="G137" t="s">
        <v>51</v>
      </c>
      <c r="H137" t="s">
        <v>52</v>
      </c>
      <c r="I137" s="4">
        <v>19</v>
      </c>
      <c r="J137" s="5">
        <v>101200</v>
      </c>
      <c r="K137" s="5">
        <v>10600</v>
      </c>
      <c r="L137" s="4">
        <v>3.5</v>
      </c>
      <c r="M137" s="3">
        <v>9</v>
      </c>
      <c r="N137" s="3">
        <v>11</v>
      </c>
      <c r="O137" s="3">
        <v>10</v>
      </c>
      <c r="P137" s="4">
        <v>3</v>
      </c>
      <c r="Q137" t="s">
        <v>28</v>
      </c>
      <c r="R137" t="s">
        <v>28</v>
      </c>
      <c r="S137" t="s">
        <v>60</v>
      </c>
      <c r="T137" s="2">
        <v>45528</v>
      </c>
      <c r="U137" s="4">
        <v>3.5</v>
      </c>
      <c r="V137" s="4">
        <v>3.8</v>
      </c>
      <c r="W137" t="str">
        <f t="shared" si="4"/>
        <v>November</v>
      </c>
      <c r="X137">
        <f t="shared" si="5"/>
        <v>1136</v>
      </c>
    </row>
    <row r="138" spans="1:24" x14ac:dyDescent="0.3">
      <c r="A138" t="s">
        <v>186</v>
      </c>
      <c r="B138" s="2">
        <v>45727</v>
      </c>
      <c r="C138" t="s">
        <v>54</v>
      </c>
      <c r="D138" t="s">
        <v>41</v>
      </c>
      <c r="E138" s="3">
        <v>29</v>
      </c>
      <c r="F138" t="s">
        <v>25</v>
      </c>
      <c r="G138" t="s">
        <v>51</v>
      </c>
      <c r="H138" t="s">
        <v>37</v>
      </c>
      <c r="I138" s="4">
        <v>7.2</v>
      </c>
      <c r="J138" s="5">
        <v>54700</v>
      </c>
      <c r="K138" s="5">
        <v>1300</v>
      </c>
      <c r="L138" s="4">
        <v>3.3</v>
      </c>
      <c r="M138" s="3">
        <v>12</v>
      </c>
      <c r="N138" s="3">
        <v>4</v>
      </c>
      <c r="O138" s="3">
        <v>14</v>
      </c>
      <c r="P138" s="4">
        <v>3.7</v>
      </c>
      <c r="Q138" t="s">
        <v>28</v>
      </c>
      <c r="R138" t="s">
        <v>28</v>
      </c>
      <c r="S138" t="s">
        <v>30</v>
      </c>
      <c r="T138" s="2">
        <v>46170</v>
      </c>
      <c r="U138" s="4">
        <v>3.4</v>
      </c>
      <c r="V138" s="4">
        <v>3.9</v>
      </c>
      <c r="W138" t="str">
        <f t="shared" si="4"/>
        <v>March</v>
      </c>
      <c r="X138">
        <f t="shared" si="5"/>
        <v>1137</v>
      </c>
    </row>
    <row r="139" spans="1:24" x14ac:dyDescent="0.3">
      <c r="A139" t="s">
        <v>187</v>
      </c>
      <c r="B139" s="2">
        <v>45908</v>
      </c>
      <c r="C139" t="s">
        <v>40</v>
      </c>
      <c r="D139" t="s">
        <v>24</v>
      </c>
      <c r="E139" s="3">
        <v>55</v>
      </c>
      <c r="F139" t="s">
        <v>25</v>
      </c>
      <c r="G139" t="s">
        <v>51</v>
      </c>
      <c r="H139" t="s">
        <v>27</v>
      </c>
      <c r="I139" s="4">
        <v>33.700000000000003</v>
      </c>
      <c r="J139" s="5">
        <v>148500</v>
      </c>
      <c r="K139" s="5">
        <v>14000</v>
      </c>
      <c r="L139" s="4">
        <v>3.9</v>
      </c>
      <c r="M139" s="3">
        <v>36</v>
      </c>
      <c r="N139" s="3">
        <v>12</v>
      </c>
      <c r="O139" s="3">
        <v>28</v>
      </c>
      <c r="P139" s="4">
        <v>4.7</v>
      </c>
      <c r="Q139" t="s">
        <v>29</v>
      </c>
      <c r="R139" t="s">
        <v>28</v>
      </c>
      <c r="S139" t="s">
        <v>43</v>
      </c>
      <c r="T139" s="2">
        <v>46203</v>
      </c>
      <c r="U139" s="4">
        <v>4.9000000000000004</v>
      </c>
      <c r="V139" s="4">
        <v>5</v>
      </c>
      <c r="W139" t="str">
        <f t="shared" si="4"/>
        <v>September</v>
      </c>
      <c r="X139">
        <f t="shared" si="5"/>
        <v>1138</v>
      </c>
    </row>
    <row r="140" spans="1:24" x14ac:dyDescent="0.3">
      <c r="A140" t="s">
        <v>188</v>
      </c>
      <c r="B140" s="2">
        <v>45081</v>
      </c>
      <c r="C140" t="s">
        <v>54</v>
      </c>
      <c r="D140" t="s">
        <v>41</v>
      </c>
      <c r="E140" s="3">
        <v>53</v>
      </c>
      <c r="F140" t="s">
        <v>50</v>
      </c>
      <c r="G140" t="s">
        <v>51</v>
      </c>
      <c r="H140" t="s">
        <v>55</v>
      </c>
      <c r="I140" s="4">
        <v>31.3</v>
      </c>
      <c r="J140" s="5">
        <v>133500</v>
      </c>
      <c r="K140" s="5">
        <v>3000</v>
      </c>
      <c r="L140" s="4">
        <v>3.7</v>
      </c>
      <c r="M140" s="3">
        <v>23</v>
      </c>
      <c r="N140" s="3">
        <v>16</v>
      </c>
      <c r="O140" s="3">
        <v>29</v>
      </c>
      <c r="P140" s="4">
        <v>2.7</v>
      </c>
      <c r="Q140" t="s">
        <v>29</v>
      </c>
      <c r="R140" t="s">
        <v>28</v>
      </c>
      <c r="S140" t="s">
        <v>43</v>
      </c>
      <c r="T140" s="2">
        <v>45728</v>
      </c>
      <c r="U140" s="4">
        <v>3.7</v>
      </c>
      <c r="V140" s="4">
        <v>3.9</v>
      </c>
      <c r="W140" t="str">
        <f t="shared" si="4"/>
        <v>June</v>
      </c>
      <c r="X140">
        <f t="shared" si="5"/>
        <v>1139</v>
      </c>
    </row>
    <row r="141" spans="1:24" x14ac:dyDescent="0.3">
      <c r="A141" t="s">
        <v>189</v>
      </c>
      <c r="B141" s="2">
        <v>44408</v>
      </c>
      <c r="C141" t="s">
        <v>36</v>
      </c>
      <c r="D141" t="s">
        <v>41</v>
      </c>
      <c r="E141" s="3">
        <v>57</v>
      </c>
      <c r="F141" t="s">
        <v>50</v>
      </c>
      <c r="G141" t="s">
        <v>51</v>
      </c>
      <c r="H141" t="s">
        <v>52</v>
      </c>
      <c r="I141" s="4">
        <v>32.299999999999997</v>
      </c>
      <c r="J141" s="5">
        <v>150000</v>
      </c>
      <c r="K141" s="5">
        <v>6800</v>
      </c>
      <c r="L141" s="4">
        <v>4.4000000000000004</v>
      </c>
      <c r="M141" s="3">
        <v>19</v>
      </c>
      <c r="N141" s="3">
        <v>13</v>
      </c>
      <c r="O141" s="3">
        <v>26</v>
      </c>
      <c r="P141" s="4">
        <v>4.5</v>
      </c>
      <c r="Q141" t="s">
        <v>28</v>
      </c>
      <c r="R141" t="s">
        <v>29</v>
      </c>
      <c r="S141" t="s">
        <v>30</v>
      </c>
      <c r="T141" s="2">
        <v>45270</v>
      </c>
      <c r="U141" s="4">
        <v>4.2</v>
      </c>
      <c r="V141" s="4">
        <v>4.3</v>
      </c>
      <c r="W141" t="str">
        <f t="shared" si="4"/>
        <v>July</v>
      </c>
      <c r="X141">
        <f t="shared" si="5"/>
        <v>1140</v>
      </c>
    </row>
    <row r="142" spans="1:24" x14ac:dyDescent="0.3">
      <c r="A142" t="s">
        <v>190</v>
      </c>
      <c r="B142" s="2">
        <v>44941</v>
      </c>
      <c r="C142" t="s">
        <v>40</v>
      </c>
      <c r="D142" t="s">
        <v>24</v>
      </c>
      <c r="E142" s="3">
        <v>36</v>
      </c>
      <c r="F142" t="s">
        <v>57</v>
      </c>
      <c r="G142" t="s">
        <v>26</v>
      </c>
      <c r="H142" t="s">
        <v>63</v>
      </c>
      <c r="I142" s="4">
        <v>6.8</v>
      </c>
      <c r="J142" s="5">
        <v>59300</v>
      </c>
      <c r="K142" s="5">
        <v>2500</v>
      </c>
      <c r="L142" s="4">
        <v>2</v>
      </c>
      <c r="M142" s="3">
        <v>38</v>
      </c>
      <c r="N142" s="3">
        <v>9</v>
      </c>
      <c r="O142" s="3">
        <v>27</v>
      </c>
      <c r="P142" s="4">
        <v>2.8</v>
      </c>
      <c r="Q142" t="s">
        <v>28</v>
      </c>
      <c r="R142" t="s">
        <v>28</v>
      </c>
      <c r="S142" t="s">
        <v>43</v>
      </c>
      <c r="T142" s="2">
        <v>45865</v>
      </c>
      <c r="U142" s="4">
        <v>2.4</v>
      </c>
      <c r="V142" s="4">
        <v>2.9</v>
      </c>
      <c r="W142" t="str">
        <f t="shared" si="4"/>
        <v>January</v>
      </c>
      <c r="X142">
        <f t="shared" si="5"/>
        <v>1141</v>
      </c>
    </row>
    <row r="143" spans="1:24" x14ac:dyDescent="0.3">
      <c r="A143" t="s">
        <v>191</v>
      </c>
      <c r="B143" s="2">
        <v>45633</v>
      </c>
      <c r="C143" t="s">
        <v>32</v>
      </c>
      <c r="D143" t="s">
        <v>24</v>
      </c>
      <c r="E143" s="3">
        <v>49</v>
      </c>
      <c r="F143" t="s">
        <v>25</v>
      </c>
      <c r="G143" t="s">
        <v>33</v>
      </c>
      <c r="H143" t="s">
        <v>55</v>
      </c>
      <c r="I143" s="4">
        <v>28.8</v>
      </c>
      <c r="J143" s="5">
        <v>145400</v>
      </c>
      <c r="K143" s="5">
        <v>14300</v>
      </c>
      <c r="L143" s="4">
        <v>3.4</v>
      </c>
      <c r="M143" s="3">
        <v>7</v>
      </c>
      <c r="N143" s="3">
        <v>16</v>
      </c>
      <c r="O143" s="3">
        <v>21</v>
      </c>
      <c r="P143" s="4">
        <v>4.0999999999999996</v>
      </c>
      <c r="Q143" t="s">
        <v>29</v>
      </c>
      <c r="R143" t="s">
        <v>28</v>
      </c>
      <c r="S143" t="s">
        <v>34</v>
      </c>
      <c r="T143" s="2">
        <v>46203</v>
      </c>
      <c r="U143" s="4">
        <v>4.0999999999999996</v>
      </c>
      <c r="V143" s="4">
        <v>3.9</v>
      </c>
      <c r="W143" t="str">
        <f t="shared" si="4"/>
        <v>December</v>
      </c>
      <c r="X143">
        <f t="shared" si="5"/>
        <v>1142</v>
      </c>
    </row>
    <row r="144" spans="1:24" x14ac:dyDescent="0.3">
      <c r="A144" t="s">
        <v>192</v>
      </c>
      <c r="B144" s="2">
        <v>46014</v>
      </c>
      <c r="C144" t="s">
        <v>54</v>
      </c>
      <c r="D144" t="s">
        <v>41</v>
      </c>
      <c r="E144" s="3">
        <v>59</v>
      </c>
      <c r="F144" t="s">
        <v>25</v>
      </c>
      <c r="G144" t="s">
        <v>33</v>
      </c>
      <c r="H144" t="s">
        <v>46</v>
      </c>
      <c r="I144" s="4">
        <v>35</v>
      </c>
      <c r="J144" s="5">
        <v>159400</v>
      </c>
      <c r="K144" s="5">
        <v>8300</v>
      </c>
      <c r="L144" s="4">
        <v>3.8</v>
      </c>
      <c r="M144" s="3">
        <v>10</v>
      </c>
      <c r="N144" s="3">
        <v>13</v>
      </c>
      <c r="O144" s="3">
        <v>9</v>
      </c>
      <c r="P144" s="4">
        <v>3.2</v>
      </c>
      <c r="Q144" t="s">
        <v>28</v>
      </c>
      <c r="R144" t="s">
        <v>28</v>
      </c>
      <c r="S144" t="s">
        <v>43</v>
      </c>
      <c r="T144" s="2">
        <v>46203</v>
      </c>
      <c r="U144" s="4">
        <v>3.7</v>
      </c>
      <c r="V144" s="4">
        <v>3.9</v>
      </c>
      <c r="W144" t="str">
        <f t="shared" si="4"/>
        <v>December</v>
      </c>
      <c r="X144">
        <f t="shared" si="5"/>
        <v>1143</v>
      </c>
    </row>
    <row r="145" spans="1:24" x14ac:dyDescent="0.3">
      <c r="A145" t="s">
        <v>193</v>
      </c>
      <c r="B145" s="2">
        <v>44232</v>
      </c>
      <c r="C145" t="s">
        <v>32</v>
      </c>
      <c r="D145" t="s">
        <v>24</v>
      </c>
      <c r="E145" s="3">
        <v>47</v>
      </c>
      <c r="F145" t="s">
        <v>50</v>
      </c>
      <c r="G145" t="s">
        <v>33</v>
      </c>
      <c r="H145" t="s">
        <v>46</v>
      </c>
      <c r="I145" s="4">
        <v>24.8</v>
      </c>
      <c r="J145" s="5">
        <v>142800</v>
      </c>
      <c r="K145" s="5">
        <v>7100</v>
      </c>
      <c r="L145" s="4">
        <v>3</v>
      </c>
      <c r="M145" s="3">
        <v>27</v>
      </c>
      <c r="N145" s="3">
        <v>15</v>
      </c>
      <c r="O145" s="3">
        <v>22</v>
      </c>
      <c r="P145" s="4">
        <v>4.5999999999999996</v>
      </c>
      <c r="Q145" t="s">
        <v>28</v>
      </c>
      <c r="R145" t="s">
        <v>28</v>
      </c>
      <c r="S145" t="s">
        <v>38</v>
      </c>
      <c r="T145" s="2">
        <v>45064</v>
      </c>
      <c r="U145" s="4">
        <v>2.5</v>
      </c>
      <c r="V145" s="4">
        <v>3.3</v>
      </c>
      <c r="W145" t="str">
        <f t="shared" si="4"/>
        <v>February</v>
      </c>
      <c r="X145">
        <f t="shared" si="5"/>
        <v>1144</v>
      </c>
    </row>
    <row r="146" spans="1:24" x14ac:dyDescent="0.3">
      <c r="A146" t="s">
        <v>194</v>
      </c>
      <c r="B146" s="2">
        <v>45984</v>
      </c>
      <c r="C146" t="s">
        <v>36</v>
      </c>
      <c r="D146" t="s">
        <v>41</v>
      </c>
      <c r="E146" s="3">
        <v>37</v>
      </c>
      <c r="F146" t="s">
        <v>25</v>
      </c>
      <c r="G146" t="s">
        <v>26</v>
      </c>
      <c r="H146" t="s">
        <v>63</v>
      </c>
      <c r="I146" s="4">
        <v>10.5</v>
      </c>
      <c r="J146" s="5">
        <v>69000</v>
      </c>
      <c r="K146" s="5">
        <v>3200</v>
      </c>
      <c r="L146" s="4">
        <v>4.2</v>
      </c>
      <c r="M146" s="3">
        <v>29</v>
      </c>
      <c r="N146" s="3">
        <v>20</v>
      </c>
      <c r="O146" s="3">
        <v>24</v>
      </c>
      <c r="P146" s="4">
        <v>3.6</v>
      </c>
      <c r="Q146" t="s">
        <v>28</v>
      </c>
      <c r="R146" t="s">
        <v>29</v>
      </c>
      <c r="S146" t="s">
        <v>34</v>
      </c>
      <c r="T146" s="2">
        <v>46203</v>
      </c>
      <c r="U146" s="4">
        <v>3.2</v>
      </c>
      <c r="V146" s="4">
        <v>3.1</v>
      </c>
      <c r="W146" t="str">
        <f t="shared" si="4"/>
        <v>November</v>
      </c>
      <c r="X146">
        <f t="shared" si="5"/>
        <v>1145</v>
      </c>
    </row>
    <row r="147" spans="1:24" x14ac:dyDescent="0.3">
      <c r="A147" t="s">
        <v>195</v>
      </c>
      <c r="B147" s="2">
        <v>45495</v>
      </c>
      <c r="C147" t="s">
        <v>23</v>
      </c>
      <c r="D147" t="s">
        <v>41</v>
      </c>
      <c r="E147" s="3">
        <v>57</v>
      </c>
      <c r="F147" t="s">
        <v>25</v>
      </c>
      <c r="G147" t="s">
        <v>26</v>
      </c>
      <c r="H147" t="s">
        <v>46</v>
      </c>
      <c r="I147" s="4">
        <v>30.4</v>
      </c>
      <c r="J147" s="5">
        <v>141600</v>
      </c>
      <c r="K147" s="5">
        <v>13400</v>
      </c>
      <c r="L147" s="4">
        <v>4.4000000000000004</v>
      </c>
      <c r="M147" s="3">
        <v>17</v>
      </c>
      <c r="N147" s="3">
        <v>14</v>
      </c>
      <c r="O147" s="3">
        <v>24</v>
      </c>
      <c r="P147" s="4">
        <v>2.2999999999999998</v>
      </c>
      <c r="Q147" t="s">
        <v>28</v>
      </c>
      <c r="R147" t="s">
        <v>29</v>
      </c>
      <c r="S147" t="s">
        <v>34</v>
      </c>
      <c r="T147" s="2">
        <v>46203</v>
      </c>
      <c r="U147" s="4">
        <v>3.7</v>
      </c>
      <c r="V147" s="4">
        <v>3.9</v>
      </c>
      <c r="W147" t="str">
        <f t="shared" si="4"/>
        <v>July</v>
      </c>
      <c r="X147">
        <f t="shared" si="5"/>
        <v>1146</v>
      </c>
    </row>
    <row r="148" spans="1:24" x14ac:dyDescent="0.3">
      <c r="A148" t="s">
        <v>196</v>
      </c>
      <c r="B148" s="2">
        <v>45085</v>
      </c>
      <c r="C148" t="s">
        <v>48</v>
      </c>
      <c r="D148" t="s">
        <v>24</v>
      </c>
      <c r="E148" s="3">
        <v>34</v>
      </c>
      <c r="F148" t="s">
        <v>57</v>
      </c>
      <c r="G148" t="s">
        <v>33</v>
      </c>
      <c r="H148" t="s">
        <v>63</v>
      </c>
      <c r="I148" s="4">
        <v>6.8</v>
      </c>
      <c r="J148" s="5">
        <v>87300</v>
      </c>
      <c r="K148" s="5">
        <v>3100</v>
      </c>
      <c r="L148" s="4">
        <v>2.6</v>
      </c>
      <c r="M148" s="3">
        <v>8</v>
      </c>
      <c r="N148" s="3">
        <v>15</v>
      </c>
      <c r="O148" s="3">
        <v>30</v>
      </c>
      <c r="P148" s="4">
        <v>3.4</v>
      </c>
      <c r="Q148" t="s">
        <v>28</v>
      </c>
      <c r="R148" t="s">
        <v>28</v>
      </c>
      <c r="S148" t="s">
        <v>60</v>
      </c>
      <c r="T148" s="2">
        <v>46203</v>
      </c>
      <c r="U148" s="4">
        <v>3.6</v>
      </c>
      <c r="V148" s="4">
        <v>4.4000000000000004</v>
      </c>
      <c r="W148" t="str">
        <f t="shared" si="4"/>
        <v>June</v>
      </c>
      <c r="X148">
        <f t="shared" si="5"/>
        <v>1147</v>
      </c>
    </row>
    <row r="149" spans="1:24" x14ac:dyDescent="0.3">
      <c r="A149" t="s">
        <v>197</v>
      </c>
      <c r="B149" s="2">
        <v>44554</v>
      </c>
      <c r="C149" t="s">
        <v>36</v>
      </c>
      <c r="D149" t="s">
        <v>24</v>
      </c>
      <c r="E149" s="3">
        <v>32</v>
      </c>
      <c r="F149" t="s">
        <v>25</v>
      </c>
      <c r="G149" t="s">
        <v>33</v>
      </c>
      <c r="H149" t="s">
        <v>37</v>
      </c>
      <c r="I149" s="4">
        <v>5.2</v>
      </c>
      <c r="J149" s="5">
        <v>73000</v>
      </c>
      <c r="K149" s="5">
        <v>1700</v>
      </c>
      <c r="L149" s="4">
        <v>3.3</v>
      </c>
      <c r="M149" s="3">
        <v>19</v>
      </c>
      <c r="N149" s="3">
        <v>13</v>
      </c>
      <c r="O149" s="3">
        <v>20</v>
      </c>
      <c r="P149" s="4">
        <v>4.2</v>
      </c>
      <c r="Q149" t="s">
        <v>29</v>
      </c>
      <c r="R149" t="s">
        <v>28</v>
      </c>
      <c r="S149" t="s">
        <v>34</v>
      </c>
      <c r="T149" s="2">
        <v>45884</v>
      </c>
      <c r="U149" s="4">
        <v>4.2</v>
      </c>
      <c r="V149" s="4">
        <v>4.4000000000000004</v>
      </c>
      <c r="W149" t="str">
        <f t="shared" si="4"/>
        <v>December</v>
      </c>
      <c r="X149">
        <f t="shared" si="5"/>
        <v>1148</v>
      </c>
    </row>
    <row r="150" spans="1:24" x14ac:dyDescent="0.3">
      <c r="A150" t="s">
        <v>198</v>
      </c>
      <c r="B150" s="2">
        <v>45583</v>
      </c>
      <c r="C150" t="s">
        <v>36</v>
      </c>
      <c r="D150" t="s">
        <v>24</v>
      </c>
      <c r="E150" s="3">
        <v>49</v>
      </c>
      <c r="F150" t="s">
        <v>25</v>
      </c>
      <c r="G150" t="s">
        <v>26</v>
      </c>
      <c r="H150" t="s">
        <v>63</v>
      </c>
      <c r="I150" s="4">
        <v>23.3</v>
      </c>
      <c r="J150" s="5">
        <v>113600</v>
      </c>
      <c r="K150" s="5">
        <v>9500</v>
      </c>
      <c r="L150" s="4">
        <v>3.7</v>
      </c>
      <c r="M150" s="3">
        <v>37</v>
      </c>
      <c r="N150" s="3">
        <v>9</v>
      </c>
      <c r="O150" s="3">
        <v>6</v>
      </c>
      <c r="P150" s="4">
        <v>3</v>
      </c>
      <c r="Q150" t="s">
        <v>28</v>
      </c>
      <c r="R150" t="s">
        <v>28</v>
      </c>
      <c r="S150" t="s">
        <v>38</v>
      </c>
      <c r="T150" s="2">
        <v>46203</v>
      </c>
      <c r="U150" s="4">
        <v>2.2000000000000002</v>
      </c>
      <c r="V150" s="4">
        <v>2.9</v>
      </c>
      <c r="W150" t="str">
        <f t="shared" si="4"/>
        <v>October</v>
      </c>
      <c r="X150">
        <f t="shared" si="5"/>
        <v>1149</v>
      </c>
    </row>
    <row r="151" spans="1:24" x14ac:dyDescent="0.3">
      <c r="A151" t="s">
        <v>199</v>
      </c>
      <c r="B151" s="2">
        <v>44553</v>
      </c>
      <c r="C151" t="s">
        <v>23</v>
      </c>
      <c r="D151" t="s">
        <v>24</v>
      </c>
      <c r="E151" s="3">
        <v>42</v>
      </c>
      <c r="F151" t="s">
        <v>57</v>
      </c>
      <c r="G151" t="s">
        <v>33</v>
      </c>
      <c r="H151" t="s">
        <v>55</v>
      </c>
      <c r="I151" s="4">
        <v>21</v>
      </c>
      <c r="J151" s="5">
        <v>121200</v>
      </c>
      <c r="K151" s="5">
        <v>4600</v>
      </c>
      <c r="L151" s="4">
        <v>3.9</v>
      </c>
      <c r="M151" s="3">
        <v>19</v>
      </c>
      <c r="N151" s="3">
        <v>9</v>
      </c>
      <c r="O151" s="3">
        <v>19</v>
      </c>
      <c r="P151" s="4">
        <v>4</v>
      </c>
      <c r="Q151" t="s">
        <v>28</v>
      </c>
      <c r="R151" t="s">
        <v>28</v>
      </c>
      <c r="S151" t="s">
        <v>43</v>
      </c>
      <c r="T151" s="2">
        <v>45816</v>
      </c>
      <c r="U151" s="4">
        <v>3.3</v>
      </c>
      <c r="V151" s="4">
        <v>4.0999999999999996</v>
      </c>
      <c r="W151" t="str">
        <f t="shared" si="4"/>
        <v>December</v>
      </c>
      <c r="X151">
        <f t="shared" si="5"/>
        <v>1150</v>
      </c>
    </row>
    <row r="152" spans="1:24" x14ac:dyDescent="0.3">
      <c r="A152" t="s">
        <v>200</v>
      </c>
      <c r="B152" s="2">
        <v>44376</v>
      </c>
      <c r="C152" t="s">
        <v>23</v>
      </c>
      <c r="D152" t="s">
        <v>24</v>
      </c>
      <c r="E152" s="3">
        <v>45</v>
      </c>
      <c r="F152" t="s">
        <v>50</v>
      </c>
      <c r="G152" t="s">
        <v>26</v>
      </c>
      <c r="H152" t="s">
        <v>52</v>
      </c>
      <c r="I152" s="4">
        <v>23.7</v>
      </c>
      <c r="J152" s="5">
        <v>115900</v>
      </c>
      <c r="K152" s="5">
        <v>7000</v>
      </c>
      <c r="L152" s="4">
        <v>2.9</v>
      </c>
      <c r="M152" s="3">
        <v>19</v>
      </c>
      <c r="N152" s="3">
        <v>15</v>
      </c>
      <c r="O152" s="3">
        <v>19</v>
      </c>
      <c r="P152" s="4">
        <v>4.3</v>
      </c>
      <c r="Q152" t="s">
        <v>28</v>
      </c>
      <c r="R152" t="s">
        <v>28</v>
      </c>
      <c r="S152" t="s">
        <v>34</v>
      </c>
      <c r="T152" s="2">
        <v>45713</v>
      </c>
      <c r="U152" s="4">
        <v>2.2999999999999998</v>
      </c>
      <c r="V152" s="4">
        <v>2.6</v>
      </c>
      <c r="W152" t="str">
        <f t="shared" si="4"/>
        <v>June</v>
      </c>
      <c r="X152">
        <f t="shared" si="5"/>
        <v>1151</v>
      </c>
    </row>
    <row r="153" spans="1:24" x14ac:dyDescent="0.3">
      <c r="A153" t="s">
        <v>201</v>
      </c>
      <c r="B153" s="2">
        <v>44985</v>
      </c>
      <c r="C153" t="s">
        <v>23</v>
      </c>
      <c r="D153" t="s">
        <v>24</v>
      </c>
      <c r="E153" s="3">
        <v>52</v>
      </c>
      <c r="F153" t="s">
        <v>25</v>
      </c>
      <c r="G153" t="s">
        <v>26</v>
      </c>
      <c r="H153" t="s">
        <v>46</v>
      </c>
      <c r="I153" s="4">
        <v>25.5</v>
      </c>
      <c r="J153" s="5">
        <v>121200</v>
      </c>
      <c r="K153" s="5">
        <v>12800</v>
      </c>
      <c r="L153" s="4">
        <v>3.6</v>
      </c>
      <c r="M153" s="3">
        <v>19</v>
      </c>
      <c r="N153" s="3">
        <v>12</v>
      </c>
      <c r="O153" s="3">
        <v>20</v>
      </c>
      <c r="P153" s="4">
        <v>3.6</v>
      </c>
      <c r="Q153" t="s">
        <v>28</v>
      </c>
      <c r="R153" t="s">
        <v>28</v>
      </c>
      <c r="S153" t="s">
        <v>30</v>
      </c>
      <c r="T153" s="2">
        <v>46203</v>
      </c>
      <c r="U153" s="4">
        <v>3.5</v>
      </c>
      <c r="V153" s="4">
        <v>3.7</v>
      </c>
      <c r="W153" t="str">
        <f t="shared" si="4"/>
        <v>February</v>
      </c>
      <c r="X153">
        <f t="shared" si="5"/>
        <v>1152</v>
      </c>
    </row>
    <row r="154" spans="1:24" x14ac:dyDescent="0.3">
      <c r="A154" t="s">
        <v>202</v>
      </c>
      <c r="B154" s="2">
        <v>44472</v>
      </c>
      <c r="C154" t="s">
        <v>40</v>
      </c>
      <c r="D154" t="s">
        <v>24</v>
      </c>
      <c r="E154" s="3">
        <v>50</v>
      </c>
      <c r="F154" t="s">
        <v>25</v>
      </c>
      <c r="G154" t="s">
        <v>33</v>
      </c>
      <c r="H154" t="s">
        <v>46</v>
      </c>
      <c r="I154" s="4">
        <v>30.7</v>
      </c>
      <c r="J154" s="5">
        <v>161500</v>
      </c>
      <c r="K154" s="5">
        <v>13500</v>
      </c>
      <c r="L154" s="4">
        <v>3.9</v>
      </c>
      <c r="M154" s="3">
        <v>30</v>
      </c>
      <c r="N154" s="3">
        <v>12</v>
      </c>
      <c r="O154" s="3">
        <v>20</v>
      </c>
      <c r="P154" s="4">
        <v>3</v>
      </c>
      <c r="Q154" t="s">
        <v>28</v>
      </c>
      <c r="R154" t="s">
        <v>28</v>
      </c>
      <c r="S154" t="s">
        <v>30</v>
      </c>
      <c r="T154" s="2">
        <v>45967</v>
      </c>
      <c r="U154" s="4">
        <v>3</v>
      </c>
      <c r="V154" s="4">
        <v>3.4</v>
      </c>
      <c r="W154" t="str">
        <f t="shared" si="4"/>
        <v>October</v>
      </c>
      <c r="X154">
        <f t="shared" si="5"/>
        <v>1153</v>
      </c>
    </row>
    <row r="155" spans="1:24" x14ac:dyDescent="0.3">
      <c r="A155" t="s">
        <v>203</v>
      </c>
      <c r="B155" s="2">
        <v>45389</v>
      </c>
      <c r="C155" t="s">
        <v>48</v>
      </c>
      <c r="D155" t="s">
        <v>24</v>
      </c>
      <c r="E155" s="3">
        <v>55</v>
      </c>
      <c r="F155" t="s">
        <v>50</v>
      </c>
      <c r="G155" t="s">
        <v>26</v>
      </c>
      <c r="H155" t="s">
        <v>37</v>
      </c>
      <c r="I155" s="4">
        <v>27.4</v>
      </c>
      <c r="J155" s="5">
        <v>137000</v>
      </c>
      <c r="K155" s="5">
        <v>10300</v>
      </c>
      <c r="L155" s="4">
        <v>3.3</v>
      </c>
      <c r="M155" s="3">
        <v>30</v>
      </c>
      <c r="N155" s="3">
        <v>10</v>
      </c>
      <c r="O155" s="3">
        <v>24</v>
      </c>
      <c r="P155" s="4">
        <v>3.2</v>
      </c>
      <c r="Q155" t="s">
        <v>28</v>
      </c>
      <c r="R155" t="s">
        <v>28</v>
      </c>
      <c r="S155" t="s">
        <v>30</v>
      </c>
      <c r="T155" s="2">
        <v>46203</v>
      </c>
      <c r="U155" s="4">
        <v>3.9</v>
      </c>
      <c r="V155" s="4">
        <v>4.0999999999999996</v>
      </c>
      <c r="W155" t="str">
        <f t="shared" si="4"/>
        <v>April</v>
      </c>
      <c r="X155">
        <f t="shared" si="5"/>
        <v>1154</v>
      </c>
    </row>
    <row r="156" spans="1:24" x14ac:dyDescent="0.3">
      <c r="A156" t="s">
        <v>204</v>
      </c>
      <c r="B156" s="2">
        <v>45159</v>
      </c>
      <c r="C156" t="s">
        <v>48</v>
      </c>
      <c r="D156" t="s">
        <v>24</v>
      </c>
      <c r="E156" s="3">
        <v>48</v>
      </c>
      <c r="F156" t="s">
        <v>57</v>
      </c>
      <c r="G156" t="s">
        <v>26</v>
      </c>
      <c r="H156" t="s">
        <v>37</v>
      </c>
      <c r="I156" s="4">
        <v>22.5</v>
      </c>
      <c r="J156" s="5">
        <v>111900</v>
      </c>
      <c r="K156" s="5">
        <v>4700</v>
      </c>
      <c r="L156" s="4">
        <v>4</v>
      </c>
      <c r="M156" s="3">
        <v>35</v>
      </c>
      <c r="N156" s="3">
        <v>10</v>
      </c>
      <c r="O156" s="3">
        <v>1</v>
      </c>
      <c r="P156" s="4">
        <v>3.4</v>
      </c>
      <c r="Q156" t="s">
        <v>28</v>
      </c>
      <c r="R156" t="s">
        <v>29</v>
      </c>
      <c r="S156" t="s">
        <v>38</v>
      </c>
      <c r="T156" s="2">
        <v>45353</v>
      </c>
      <c r="U156" s="4">
        <v>3.2</v>
      </c>
      <c r="V156" s="4">
        <v>3.6</v>
      </c>
      <c r="W156" t="str">
        <f t="shared" si="4"/>
        <v>August</v>
      </c>
      <c r="X156">
        <f t="shared" si="5"/>
        <v>1155</v>
      </c>
    </row>
    <row r="157" spans="1:24" x14ac:dyDescent="0.3">
      <c r="A157" t="s">
        <v>205</v>
      </c>
      <c r="B157" s="2">
        <v>44675</v>
      </c>
      <c r="C157" t="s">
        <v>54</v>
      </c>
      <c r="D157" t="s">
        <v>41</v>
      </c>
      <c r="E157" s="3">
        <v>56</v>
      </c>
      <c r="F157" t="s">
        <v>25</v>
      </c>
      <c r="G157" t="s">
        <v>26</v>
      </c>
      <c r="H157" t="s">
        <v>55</v>
      </c>
      <c r="I157" s="4">
        <v>33.9</v>
      </c>
      <c r="J157" s="5">
        <v>149400</v>
      </c>
      <c r="K157" s="5">
        <v>9000</v>
      </c>
      <c r="L157" s="4">
        <v>4.4000000000000004</v>
      </c>
      <c r="M157" s="3">
        <v>16</v>
      </c>
      <c r="N157" s="3">
        <v>7</v>
      </c>
      <c r="O157" s="3">
        <v>19</v>
      </c>
      <c r="P157" s="4">
        <v>5</v>
      </c>
      <c r="Q157" t="s">
        <v>28</v>
      </c>
      <c r="R157" t="s">
        <v>29</v>
      </c>
      <c r="S157" t="s">
        <v>34</v>
      </c>
      <c r="T157" s="2">
        <v>45349</v>
      </c>
      <c r="U157" s="4">
        <v>3.1</v>
      </c>
      <c r="V157" s="4">
        <v>3.4</v>
      </c>
      <c r="W157" t="str">
        <f t="shared" si="4"/>
        <v>April</v>
      </c>
      <c r="X157">
        <f t="shared" si="5"/>
        <v>1156</v>
      </c>
    </row>
    <row r="158" spans="1:24" x14ac:dyDescent="0.3">
      <c r="A158" t="s">
        <v>206</v>
      </c>
      <c r="B158" s="2">
        <v>45848</v>
      </c>
      <c r="C158" t="s">
        <v>40</v>
      </c>
      <c r="D158" t="s">
        <v>24</v>
      </c>
      <c r="E158" s="3">
        <v>46</v>
      </c>
      <c r="F158" t="s">
        <v>25</v>
      </c>
      <c r="G158" t="s">
        <v>26</v>
      </c>
      <c r="H158" t="s">
        <v>63</v>
      </c>
      <c r="I158" s="4">
        <v>26.5</v>
      </c>
      <c r="J158" s="5">
        <v>120900</v>
      </c>
      <c r="K158" s="5">
        <v>10500</v>
      </c>
      <c r="L158" s="4">
        <v>2.9</v>
      </c>
      <c r="M158" s="3">
        <v>23</v>
      </c>
      <c r="N158" s="3">
        <v>18</v>
      </c>
      <c r="O158" s="3">
        <v>30</v>
      </c>
      <c r="P158" s="4">
        <v>4.0999999999999996</v>
      </c>
      <c r="Q158" t="s">
        <v>28</v>
      </c>
      <c r="R158" t="s">
        <v>28</v>
      </c>
      <c r="S158" t="s">
        <v>60</v>
      </c>
      <c r="T158" s="2">
        <v>46203</v>
      </c>
      <c r="U158" s="4">
        <v>4.2</v>
      </c>
      <c r="V158" s="4">
        <v>4.8</v>
      </c>
      <c r="W158" t="str">
        <f t="shared" si="4"/>
        <v>July</v>
      </c>
      <c r="X158">
        <f t="shared" si="5"/>
        <v>1157</v>
      </c>
    </row>
    <row r="159" spans="1:24" x14ac:dyDescent="0.3">
      <c r="A159" t="s">
        <v>207</v>
      </c>
      <c r="B159" s="2">
        <v>45594</v>
      </c>
      <c r="C159" t="s">
        <v>40</v>
      </c>
      <c r="D159" t="s">
        <v>24</v>
      </c>
      <c r="E159" s="3">
        <v>45</v>
      </c>
      <c r="F159" t="s">
        <v>25</v>
      </c>
      <c r="G159" t="s">
        <v>42</v>
      </c>
      <c r="H159" t="s">
        <v>63</v>
      </c>
      <c r="I159" s="4">
        <v>22.9</v>
      </c>
      <c r="J159" s="5">
        <v>141800</v>
      </c>
      <c r="K159" s="5">
        <v>9400</v>
      </c>
      <c r="L159" s="4">
        <v>4.8</v>
      </c>
      <c r="M159" s="3">
        <v>28</v>
      </c>
      <c r="N159" s="3">
        <v>18</v>
      </c>
      <c r="O159" s="3">
        <v>24</v>
      </c>
      <c r="P159" s="4">
        <v>3.1</v>
      </c>
      <c r="Q159" t="s">
        <v>28</v>
      </c>
      <c r="R159" t="s">
        <v>29</v>
      </c>
      <c r="S159" t="s">
        <v>34</v>
      </c>
      <c r="T159" s="2">
        <v>46203</v>
      </c>
      <c r="U159" s="4">
        <v>4.5</v>
      </c>
      <c r="V159" s="4">
        <v>5</v>
      </c>
      <c r="W159" t="str">
        <f t="shared" si="4"/>
        <v>October</v>
      </c>
      <c r="X159">
        <f t="shared" si="5"/>
        <v>1158</v>
      </c>
    </row>
    <row r="160" spans="1:24" x14ac:dyDescent="0.3">
      <c r="A160" t="s">
        <v>208</v>
      </c>
      <c r="B160" s="2">
        <v>45616</v>
      </c>
      <c r="C160" t="s">
        <v>48</v>
      </c>
      <c r="D160" t="s">
        <v>41</v>
      </c>
      <c r="E160" s="3">
        <v>32</v>
      </c>
      <c r="F160" t="s">
        <v>25</v>
      </c>
      <c r="G160" t="s">
        <v>33</v>
      </c>
      <c r="H160" t="s">
        <v>55</v>
      </c>
      <c r="I160" s="4">
        <v>8.4</v>
      </c>
      <c r="J160" s="5">
        <v>82200</v>
      </c>
      <c r="K160" s="5">
        <v>6800</v>
      </c>
      <c r="L160" s="4">
        <v>3.2</v>
      </c>
      <c r="M160" s="3">
        <v>25</v>
      </c>
      <c r="N160" s="3">
        <v>6</v>
      </c>
      <c r="O160" s="3">
        <v>28</v>
      </c>
      <c r="P160" s="4">
        <v>3.6</v>
      </c>
      <c r="Q160" t="s">
        <v>29</v>
      </c>
      <c r="R160" t="s">
        <v>28</v>
      </c>
      <c r="S160" t="s">
        <v>38</v>
      </c>
      <c r="T160" s="2">
        <v>46084</v>
      </c>
      <c r="U160" s="4">
        <v>2.5</v>
      </c>
      <c r="V160" s="4">
        <v>2.8</v>
      </c>
      <c r="W160" t="str">
        <f t="shared" si="4"/>
        <v>November</v>
      </c>
      <c r="X160">
        <f t="shared" si="5"/>
        <v>1159</v>
      </c>
    </row>
    <row r="161" spans="1:24" x14ac:dyDescent="0.3">
      <c r="A161" t="s">
        <v>209</v>
      </c>
      <c r="B161" s="2">
        <v>44237</v>
      </c>
      <c r="C161" t="s">
        <v>54</v>
      </c>
      <c r="D161" t="s">
        <v>24</v>
      </c>
      <c r="E161" s="3">
        <v>44</v>
      </c>
      <c r="F161" t="s">
        <v>25</v>
      </c>
      <c r="G161" t="s">
        <v>26</v>
      </c>
      <c r="H161" t="s">
        <v>37</v>
      </c>
      <c r="I161" s="4">
        <v>21.2</v>
      </c>
      <c r="J161" s="5">
        <v>114200</v>
      </c>
      <c r="K161" s="5">
        <v>11600</v>
      </c>
      <c r="L161" s="4">
        <v>2.4</v>
      </c>
      <c r="M161" s="3">
        <v>23</v>
      </c>
      <c r="N161" s="3">
        <v>3</v>
      </c>
      <c r="O161" s="3">
        <v>21</v>
      </c>
      <c r="P161" s="4">
        <v>2.9</v>
      </c>
      <c r="Q161" t="s">
        <v>28</v>
      </c>
      <c r="R161" t="s">
        <v>28</v>
      </c>
      <c r="S161" t="s">
        <v>34</v>
      </c>
      <c r="T161" s="2">
        <v>45054</v>
      </c>
      <c r="U161" s="4">
        <v>2.8</v>
      </c>
      <c r="V161" s="4">
        <v>3.5</v>
      </c>
      <c r="W161" t="str">
        <f t="shared" si="4"/>
        <v>February</v>
      </c>
      <c r="X161">
        <f t="shared" si="5"/>
        <v>1160</v>
      </c>
    </row>
    <row r="162" spans="1:24" x14ac:dyDescent="0.3">
      <c r="A162" t="s">
        <v>210</v>
      </c>
      <c r="B162" s="2">
        <v>45245</v>
      </c>
      <c r="C162" t="s">
        <v>48</v>
      </c>
      <c r="D162" t="s">
        <v>24</v>
      </c>
      <c r="E162" s="3">
        <v>42</v>
      </c>
      <c r="F162" t="s">
        <v>57</v>
      </c>
      <c r="G162" t="s">
        <v>33</v>
      </c>
      <c r="H162" t="s">
        <v>27</v>
      </c>
      <c r="I162" s="4">
        <v>19.399999999999999</v>
      </c>
      <c r="J162" s="5">
        <v>117000</v>
      </c>
      <c r="K162" s="5">
        <v>3200</v>
      </c>
      <c r="L162" s="4">
        <v>4.5</v>
      </c>
      <c r="M162" s="3">
        <v>12</v>
      </c>
      <c r="N162" s="3">
        <v>5</v>
      </c>
      <c r="O162" s="3">
        <v>9</v>
      </c>
      <c r="P162" s="4">
        <v>5</v>
      </c>
      <c r="Q162" t="s">
        <v>28</v>
      </c>
      <c r="R162" t="s">
        <v>29</v>
      </c>
      <c r="S162" t="s">
        <v>43</v>
      </c>
      <c r="T162" s="2">
        <v>46032</v>
      </c>
      <c r="U162" s="4">
        <v>3.4</v>
      </c>
      <c r="V162" s="4">
        <v>3.9</v>
      </c>
      <c r="W162" t="str">
        <f t="shared" si="4"/>
        <v>November</v>
      </c>
      <c r="X162">
        <f t="shared" si="5"/>
        <v>1161</v>
      </c>
    </row>
    <row r="163" spans="1:24" x14ac:dyDescent="0.3">
      <c r="A163" t="s">
        <v>211</v>
      </c>
      <c r="B163" s="2">
        <v>44988</v>
      </c>
      <c r="C163" t="s">
        <v>32</v>
      </c>
      <c r="D163" t="s">
        <v>41</v>
      </c>
      <c r="E163" s="3">
        <v>38</v>
      </c>
      <c r="F163" t="s">
        <v>50</v>
      </c>
      <c r="G163" t="s">
        <v>33</v>
      </c>
      <c r="H163" t="s">
        <v>37</v>
      </c>
      <c r="I163" s="4">
        <v>13.2</v>
      </c>
      <c r="J163" s="5">
        <v>97400</v>
      </c>
      <c r="K163" s="5">
        <v>11200</v>
      </c>
      <c r="L163" s="4">
        <v>2.8</v>
      </c>
      <c r="M163" s="3">
        <v>31</v>
      </c>
      <c r="N163" s="3">
        <v>16</v>
      </c>
      <c r="O163" s="3">
        <v>11</v>
      </c>
      <c r="P163" s="4">
        <v>4.2</v>
      </c>
      <c r="Q163" t="s">
        <v>28</v>
      </c>
      <c r="R163" t="s">
        <v>28</v>
      </c>
      <c r="S163" t="s">
        <v>38</v>
      </c>
      <c r="T163" s="2">
        <v>45590</v>
      </c>
      <c r="U163" s="4">
        <v>3.8</v>
      </c>
      <c r="V163" s="4">
        <v>3.9</v>
      </c>
      <c r="W163" t="str">
        <f t="shared" si="4"/>
        <v>March</v>
      </c>
      <c r="X163">
        <f t="shared" si="5"/>
        <v>1162</v>
      </c>
    </row>
    <row r="164" spans="1:24" x14ac:dyDescent="0.3">
      <c r="A164" t="s">
        <v>212</v>
      </c>
      <c r="B164" s="2">
        <v>44450</v>
      </c>
      <c r="C164" t="s">
        <v>23</v>
      </c>
      <c r="D164" t="s">
        <v>24</v>
      </c>
      <c r="E164" s="3">
        <v>22</v>
      </c>
      <c r="F164" t="s">
        <v>25</v>
      </c>
      <c r="G164" t="s">
        <v>51</v>
      </c>
      <c r="H164" t="s">
        <v>52</v>
      </c>
      <c r="I164" s="4">
        <v>0</v>
      </c>
      <c r="J164" s="5">
        <v>35200</v>
      </c>
      <c r="K164" s="5">
        <v>2900</v>
      </c>
      <c r="L164" s="4">
        <v>3.2</v>
      </c>
      <c r="M164" s="3">
        <v>23</v>
      </c>
      <c r="N164" s="3">
        <v>7</v>
      </c>
      <c r="O164" s="3">
        <v>2</v>
      </c>
      <c r="P164" s="4">
        <v>3.3</v>
      </c>
      <c r="Q164" t="s">
        <v>28</v>
      </c>
      <c r="R164" t="s">
        <v>28</v>
      </c>
      <c r="S164" t="s">
        <v>60</v>
      </c>
      <c r="T164" s="2">
        <v>45438</v>
      </c>
      <c r="U164" s="4">
        <v>4.0999999999999996</v>
      </c>
      <c r="V164" s="4">
        <v>4.5999999999999996</v>
      </c>
      <c r="W164" t="str">
        <f t="shared" si="4"/>
        <v>September</v>
      </c>
      <c r="X164">
        <f t="shared" si="5"/>
        <v>1163</v>
      </c>
    </row>
    <row r="165" spans="1:24" x14ac:dyDescent="0.3">
      <c r="A165" t="s">
        <v>213</v>
      </c>
      <c r="B165" s="2">
        <v>44705</v>
      </c>
      <c r="C165" t="s">
        <v>23</v>
      </c>
      <c r="D165" t="s">
        <v>24</v>
      </c>
      <c r="E165" s="3">
        <v>25</v>
      </c>
      <c r="F165" t="s">
        <v>25</v>
      </c>
      <c r="G165" t="s">
        <v>26</v>
      </c>
      <c r="H165" t="s">
        <v>52</v>
      </c>
      <c r="I165" s="4">
        <v>0</v>
      </c>
      <c r="J165" s="5">
        <v>36100</v>
      </c>
      <c r="K165" s="5">
        <v>700</v>
      </c>
      <c r="L165" s="4">
        <v>3.1</v>
      </c>
      <c r="M165" s="3">
        <v>23</v>
      </c>
      <c r="N165" s="3">
        <v>9</v>
      </c>
      <c r="O165" s="3">
        <v>13</v>
      </c>
      <c r="P165" s="4">
        <v>4.2</v>
      </c>
      <c r="Q165" t="s">
        <v>29</v>
      </c>
      <c r="R165" t="s">
        <v>28</v>
      </c>
      <c r="S165" t="s">
        <v>34</v>
      </c>
      <c r="T165" s="2">
        <v>45757</v>
      </c>
      <c r="U165" s="4">
        <v>3.8</v>
      </c>
      <c r="V165" s="4">
        <v>4.4000000000000004</v>
      </c>
      <c r="W165" t="str">
        <f t="shared" si="4"/>
        <v>May</v>
      </c>
      <c r="X165">
        <f t="shared" si="5"/>
        <v>1164</v>
      </c>
    </row>
    <row r="166" spans="1:24" x14ac:dyDescent="0.3">
      <c r="A166" t="s">
        <v>214</v>
      </c>
      <c r="B166" s="2">
        <v>44695</v>
      </c>
      <c r="C166" t="s">
        <v>23</v>
      </c>
      <c r="D166" t="s">
        <v>41</v>
      </c>
      <c r="E166" s="3">
        <v>53</v>
      </c>
      <c r="F166" t="s">
        <v>25</v>
      </c>
      <c r="G166" t="s">
        <v>33</v>
      </c>
      <c r="H166" t="s">
        <v>55</v>
      </c>
      <c r="I166" s="4">
        <v>32.299999999999997</v>
      </c>
      <c r="J166" s="5">
        <v>156800</v>
      </c>
      <c r="K166" s="5">
        <v>9200</v>
      </c>
      <c r="L166" s="4">
        <v>3.6</v>
      </c>
      <c r="M166" s="3">
        <v>25</v>
      </c>
      <c r="N166" s="3">
        <v>10</v>
      </c>
      <c r="O166" s="3">
        <v>3</v>
      </c>
      <c r="P166" s="4">
        <v>5</v>
      </c>
      <c r="Q166" t="s">
        <v>29</v>
      </c>
      <c r="R166" t="s">
        <v>28</v>
      </c>
      <c r="S166" t="s">
        <v>43</v>
      </c>
      <c r="T166" s="2">
        <v>45562</v>
      </c>
      <c r="U166" s="4">
        <v>4.5999999999999996</v>
      </c>
      <c r="V166" s="4">
        <v>5</v>
      </c>
      <c r="W166" t="str">
        <f t="shared" si="4"/>
        <v>May</v>
      </c>
      <c r="X166">
        <f t="shared" si="5"/>
        <v>1165</v>
      </c>
    </row>
    <row r="167" spans="1:24" x14ac:dyDescent="0.3">
      <c r="A167" t="s">
        <v>215</v>
      </c>
      <c r="B167" s="2">
        <v>45914</v>
      </c>
      <c r="C167" t="s">
        <v>48</v>
      </c>
      <c r="D167" t="s">
        <v>41</v>
      </c>
      <c r="E167" s="3">
        <v>57</v>
      </c>
      <c r="F167" t="s">
        <v>57</v>
      </c>
      <c r="G167" t="s">
        <v>51</v>
      </c>
      <c r="H167" t="s">
        <v>27</v>
      </c>
      <c r="I167" s="4">
        <v>31.4</v>
      </c>
      <c r="J167" s="5">
        <v>128300</v>
      </c>
      <c r="K167" s="5">
        <v>6300</v>
      </c>
      <c r="L167" s="4">
        <v>4</v>
      </c>
      <c r="M167" s="3">
        <v>23</v>
      </c>
      <c r="N167" s="3">
        <v>15</v>
      </c>
      <c r="O167" s="3">
        <v>14</v>
      </c>
      <c r="P167" s="4">
        <v>3.3</v>
      </c>
      <c r="Q167" t="s">
        <v>28</v>
      </c>
      <c r="R167" t="s">
        <v>29</v>
      </c>
      <c r="S167" t="s">
        <v>43</v>
      </c>
      <c r="T167" s="2">
        <v>46203</v>
      </c>
      <c r="U167" s="4">
        <v>3.5</v>
      </c>
      <c r="V167" s="4">
        <v>3.7</v>
      </c>
      <c r="W167" t="str">
        <f t="shared" si="4"/>
        <v>September</v>
      </c>
      <c r="X167">
        <f t="shared" si="5"/>
        <v>1166</v>
      </c>
    </row>
    <row r="168" spans="1:24" x14ac:dyDescent="0.3">
      <c r="A168" t="s">
        <v>216</v>
      </c>
      <c r="B168" s="2">
        <v>45226</v>
      </c>
      <c r="C168" t="s">
        <v>40</v>
      </c>
      <c r="D168" t="s">
        <v>41</v>
      </c>
      <c r="E168" s="3">
        <v>26</v>
      </c>
      <c r="F168" t="s">
        <v>25</v>
      </c>
      <c r="G168" t="s">
        <v>51</v>
      </c>
      <c r="H168" t="s">
        <v>55</v>
      </c>
      <c r="I168" s="4">
        <v>6.6</v>
      </c>
      <c r="J168" s="5">
        <v>58500</v>
      </c>
      <c r="K168" s="5">
        <v>6300</v>
      </c>
      <c r="L168" s="4">
        <v>4.5999999999999996</v>
      </c>
      <c r="M168" s="3">
        <v>6</v>
      </c>
      <c r="N168" s="3">
        <v>12</v>
      </c>
      <c r="O168" s="3">
        <v>25</v>
      </c>
      <c r="P168" s="4">
        <v>3.6</v>
      </c>
      <c r="Q168" t="s">
        <v>28</v>
      </c>
      <c r="R168" t="s">
        <v>29</v>
      </c>
      <c r="S168" t="s">
        <v>38</v>
      </c>
      <c r="T168" s="2">
        <v>46203</v>
      </c>
      <c r="U168" s="4">
        <v>4.4000000000000004</v>
      </c>
      <c r="V168" s="4">
        <v>4.9000000000000004</v>
      </c>
      <c r="W168" t="str">
        <f t="shared" si="4"/>
        <v>October</v>
      </c>
      <c r="X168">
        <f t="shared" si="5"/>
        <v>1167</v>
      </c>
    </row>
    <row r="169" spans="1:24" x14ac:dyDescent="0.3">
      <c r="A169" t="s">
        <v>217</v>
      </c>
      <c r="B169" s="2">
        <v>44918</v>
      </c>
      <c r="C169" t="s">
        <v>36</v>
      </c>
      <c r="D169" t="s">
        <v>24</v>
      </c>
      <c r="E169" s="3">
        <v>41</v>
      </c>
      <c r="F169" t="s">
        <v>25</v>
      </c>
      <c r="G169" t="s">
        <v>42</v>
      </c>
      <c r="H169" t="s">
        <v>27</v>
      </c>
      <c r="I169" s="4">
        <v>14.5</v>
      </c>
      <c r="J169" s="5">
        <v>111000</v>
      </c>
      <c r="K169" s="5">
        <v>13200</v>
      </c>
      <c r="L169" s="4">
        <v>4.0999999999999996</v>
      </c>
      <c r="M169" s="3">
        <v>29</v>
      </c>
      <c r="N169" s="3">
        <v>11</v>
      </c>
      <c r="O169" s="3">
        <v>19</v>
      </c>
      <c r="P169" s="4">
        <v>3.6</v>
      </c>
      <c r="Q169" t="s">
        <v>28</v>
      </c>
      <c r="R169" t="s">
        <v>29</v>
      </c>
      <c r="S169" t="s">
        <v>38</v>
      </c>
      <c r="T169" s="2">
        <v>46030</v>
      </c>
      <c r="U169" s="4">
        <v>4.8</v>
      </c>
      <c r="V169" s="4">
        <v>5</v>
      </c>
      <c r="W169" t="str">
        <f t="shared" si="4"/>
        <v>December</v>
      </c>
      <c r="X169">
        <f t="shared" si="5"/>
        <v>1168</v>
      </c>
    </row>
    <row r="170" spans="1:24" x14ac:dyDescent="0.3">
      <c r="A170" t="s">
        <v>218</v>
      </c>
      <c r="B170" s="2">
        <v>44667</v>
      </c>
      <c r="C170" t="s">
        <v>54</v>
      </c>
      <c r="D170" t="s">
        <v>24</v>
      </c>
      <c r="E170" s="3">
        <v>25</v>
      </c>
      <c r="F170" t="s">
        <v>57</v>
      </c>
      <c r="G170" t="s">
        <v>26</v>
      </c>
      <c r="H170" t="s">
        <v>55</v>
      </c>
      <c r="I170" s="4">
        <v>5</v>
      </c>
      <c r="J170" s="5">
        <v>60900</v>
      </c>
      <c r="K170" s="5">
        <v>6200</v>
      </c>
      <c r="L170" s="4">
        <v>3.8</v>
      </c>
      <c r="M170" s="3">
        <v>35</v>
      </c>
      <c r="N170" s="3">
        <v>19</v>
      </c>
      <c r="O170" s="3">
        <v>15</v>
      </c>
      <c r="P170" s="4">
        <v>3.2</v>
      </c>
      <c r="Q170" t="s">
        <v>28</v>
      </c>
      <c r="R170" t="s">
        <v>28</v>
      </c>
      <c r="S170" t="s">
        <v>34</v>
      </c>
      <c r="T170" s="2">
        <v>45720</v>
      </c>
      <c r="U170" s="4">
        <v>3.9</v>
      </c>
      <c r="V170" s="4">
        <v>4.4000000000000004</v>
      </c>
      <c r="W170" t="str">
        <f t="shared" si="4"/>
        <v>April</v>
      </c>
      <c r="X170">
        <f t="shared" si="5"/>
        <v>1169</v>
      </c>
    </row>
    <row r="171" spans="1:24" x14ac:dyDescent="0.3">
      <c r="A171" t="s">
        <v>219</v>
      </c>
      <c r="B171" s="2">
        <v>44323</v>
      </c>
      <c r="C171" t="s">
        <v>36</v>
      </c>
      <c r="D171" t="s">
        <v>41</v>
      </c>
      <c r="E171" s="3">
        <v>55</v>
      </c>
      <c r="F171" t="s">
        <v>25</v>
      </c>
      <c r="G171" t="s">
        <v>26</v>
      </c>
      <c r="H171" t="s">
        <v>37</v>
      </c>
      <c r="I171" s="4">
        <v>28.9</v>
      </c>
      <c r="J171" s="5">
        <v>131500</v>
      </c>
      <c r="K171" s="5">
        <v>6600</v>
      </c>
      <c r="L171" s="4">
        <v>3.1</v>
      </c>
      <c r="M171" s="3">
        <v>18</v>
      </c>
      <c r="N171" s="3">
        <v>15</v>
      </c>
      <c r="O171" s="3">
        <v>0</v>
      </c>
      <c r="P171" s="4">
        <v>3.4</v>
      </c>
      <c r="Q171" t="s">
        <v>28</v>
      </c>
      <c r="R171" t="s">
        <v>28</v>
      </c>
      <c r="S171" t="s">
        <v>43</v>
      </c>
      <c r="T171" s="2">
        <v>44996</v>
      </c>
      <c r="U171" s="4">
        <v>3.4</v>
      </c>
      <c r="V171" s="4">
        <v>3.9</v>
      </c>
      <c r="W171" t="str">
        <f t="shared" si="4"/>
        <v>May</v>
      </c>
      <c r="X171">
        <f t="shared" si="5"/>
        <v>1170</v>
      </c>
    </row>
    <row r="172" spans="1:24" x14ac:dyDescent="0.3">
      <c r="A172" t="s">
        <v>220</v>
      </c>
      <c r="B172" s="2">
        <v>45065</v>
      </c>
      <c r="C172" t="s">
        <v>48</v>
      </c>
      <c r="D172" t="s">
        <v>24</v>
      </c>
      <c r="E172" s="3">
        <v>39</v>
      </c>
      <c r="F172" t="s">
        <v>57</v>
      </c>
      <c r="G172" t="s">
        <v>51</v>
      </c>
      <c r="H172" t="s">
        <v>55</v>
      </c>
      <c r="I172" s="4">
        <v>18.899999999999999</v>
      </c>
      <c r="J172" s="5">
        <v>91900</v>
      </c>
      <c r="K172" s="5">
        <v>8500</v>
      </c>
      <c r="L172" s="4">
        <v>3.9</v>
      </c>
      <c r="M172" s="3">
        <v>34</v>
      </c>
      <c r="N172" s="3">
        <v>15</v>
      </c>
      <c r="O172" s="3">
        <v>20</v>
      </c>
      <c r="P172" s="4">
        <v>3.7</v>
      </c>
      <c r="Q172" t="s">
        <v>28</v>
      </c>
      <c r="R172" t="s">
        <v>28</v>
      </c>
      <c r="S172" t="s">
        <v>43</v>
      </c>
      <c r="T172" s="2">
        <v>45580</v>
      </c>
      <c r="U172" s="4">
        <v>2.9</v>
      </c>
      <c r="V172" s="4">
        <v>2.9</v>
      </c>
      <c r="W172" t="str">
        <f t="shared" si="4"/>
        <v>May</v>
      </c>
      <c r="X172">
        <f t="shared" si="5"/>
        <v>1171</v>
      </c>
    </row>
    <row r="173" spans="1:24" x14ac:dyDescent="0.3">
      <c r="A173" t="s">
        <v>221</v>
      </c>
      <c r="B173" s="2">
        <v>45133</v>
      </c>
      <c r="C173" t="s">
        <v>48</v>
      </c>
      <c r="D173" t="s">
        <v>24</v>
      </c>
      <c r="E173" s="3">
        <v>50</v>
      </c>
      <c r="F173" t="s">
        <v>25</v>
      </c>
      <c r="G173" t="s">
        <v>51</v>
      </c>
      <c r="H173" t="s">
        <v>37</v>
      </c>
      <c r="I173" s="4">
        <v>26.1</v>
      </c>
      <c r="J173" s="5">
        <v>117200</v>
      </c>
      <c r="K173" s="5">
        <v>3100</v>
      </c>
      <c r="L173" s="4">
        <v>3</v>
      </c>
      <c r="M173" s="3">
        <v>38</v>
      </c>
      <c r="N173" s="3">
        <v>14</v>
      </c>
      <c r="O173" s="3">
        <v>16</v>
      </c>
      <c r="P173" s="4">
        <v>3.9</v>
      </c>
      <c r="Q173" t="s">
        <v>28</v>
      </c>
      <c r="R173" t="s">
        <v>28</v>
      </c>
      <c r="S173" t="s">
        <v>38</v>
      </c>
      <c r="T173" s="2">
        <v>45396</v>
      </c>
      <c r="U173" s="4">
        <v>3.7</v>
      </c>
      <c r="V173" s="4">
        <v>4.4000000000000004</v>
      </c>
      <c r="W173" t="str">
        <f t="shared" si="4"/>
        <v>July</v>
      </c>
      <c r="X173">
        <f t="shared" si="5"/>
        <v>1172</v>
      </c>
    </row>
    <row r="174" spans="1:24" x14ac:dyDescent="0.3">
      <c r="A174" t="s">
        <v>222</v>
      </c>
      <c r="B174" s="2">
        <v>45138</v>
      </c>
      <c r="C174" t="s">
        <v>48</v>
      </c>
      <c r="D174" t="s">
        <v>41</v>
      </c>
      <c r="E174" s="3">
        <v>28</v>
      </c>
      <c r="F174" t="s">
        <v>57</v>
      </c>
      <c r="G174" t="s">
        <v>26</v>
      </c>
      <c r="H174" t="s">
        <v>27</v>
      </c>
      <c r="I174" s="4">
        <v>7.3</v>
      </c>
      <c r="J174" s="5">
        <v>53100</v>
      </c>
      <c r="K174" s="5">
        <v>4700</v>
      </c>
      <c r="L174" s="4">
        <v>3.9</v>
      </c>
      <c r="M174" s="3">
        <v>15</v>
      </c>
      <c r="N174" s="3">
        <v>14</v>
      </c>
      <c r="O174" s="3">
        <v>16</v>
      </c>
      <c r="P174" s="4">
        <v>3.9</v>
      </c>
      <c r="Q174" t="s">
        <v>28</v>
      </c>
      <c r="R174" t="s">
        <v>28</v>
      </c>
      <c r="S174" t="s">
        <v>43</v>
      </c>
      <c r="T174" s="2">
        <v>45621</v>
      </c>
      <c r="U174" s="4">
        <v>3.5</v>
      </c>
      <c r="V174" s="4">
        <v>3.7</v>
      </c>
      <c r="W174" t="str">
        <f t="shared" si="4"/>
        <v>July</v>
      </c>
      <c r="X174">
        <f t="shared" si="5"/>
        <v>1173</v>
      </c>
    </row>
    <row r="175" spans="1:24" x14ac:dyDescent="0.3">
      <c r="A175" t="s">
        <v>223</v>
      </c>
      <c r="B175" s="2">
        <v>45674</v>
      </c>
      <c r="C175" t="s">
        <v>54</v>
      </c>
      <c r="D175" t="s">
        <v>41</v>
      </c>
      <c r="E175" s="3">
        <v>28</v>
      </c>
      <c r="F175" t="s">
        <v>25</v>
      </c>
      <c r="G175" t="s">
        <v>42</v>
      </c>
      <c r="H175" t="s">
        <v>52</v>
      </c>
      <c r="I175" s="4">
        <v>6.6</v>
      </c>
      <c r="J175" s="5">
        <v>89900</v>
      </c>
      <c r="K175" s="5">
        <v>3900</v>
      </c>
      <c r="L175" s="4">
        <v>3.8</v>
      </c>
      <c r="M175" s="3">
        <v>10</v>
      </c>
      <c r="N175" s="3">
        <v>10</v>
      </c>
      <c r="O175" s="3">
        <v>3</v>
      </c>
      <c r="P175" s="4">
        <v>3.7</v>
      </c>
      <c r="Q175" t="s">
        <v>28</v>
      </c>
      <c r="R175" t="s">
        <v>28</v>
      </c>
      <c r="S175" t="s">
        <v>43</v>
      </c>
      <c r="T175" s="2">
        <v>46203</v>
      </c>
      <c r="U175" s="4">
        <v>4.3</v>
      </c>
      <c r="V175" s="4">
        <v>4.7</v>
      </c>
      <c r="W175" t="str">
        <f t="shared" si="4"/>
        <v>January</v>
      </c>
      <c r="X175">
        <f t="shared" si="5"/>
        <v>1174</v>
      </c>
    </row>
    <row r="176" spans="1:24" x14ac:dyDescent="0.3">
      <c r="A176" t="s">
        <v>224</v>
      </c>
      <c r="B176" s="2">
        <v>44558</v>
      </c>
      <c r="C176" t="s">
        <v>23</v>
      </c>
      <c r="D176" t="s">
        <v>24</v>
      </c>
      <c r="E176" s="3">
        <v>25</v>
      </c>
      <c r="F176" t="s">
        <v>25</v>
      </c>
      <c r="G176" t="s">
        <v>33</v>
      </c>
      <c r="H176" t="s">
        <v>27</v>
      </c>
      <c r="I176" s="4">
        <v>0</v>
      </c>
      <c r="J176" s="5">
        <v>46500</v>
      </c>
      <c r="K176" s="5">
        <v>3000</v>
      </c>
      <c r="L176" s="4">
        <v>4.2</v>
      </c>
      <c r="M176" s="3">
        <v>31</v>
      </c>
      <c r="N176" s="3">
        <v>14</v>
      </c>
      <c r="O176" s="3">
        <v>3</v>
      </c>
      <c r="P176" s="4">
        <v>2.4</v>
      </c>
      <c r="Q176" t="s">
        <v>28</v>
      </c>
      <c r="R176" t="s">
        <v>28</v>
      </c>
      <c r="S176" t="s">
        <v>43</v>
      </c>
      <c r="T176" s="2">
        <v>45290</v>
      </c>
      <c r="U176" s="4">
        <v>3.8</v>
      </c>
      <c r="V176" s="4">
        <v>4.2</v>
      </c>
      <c r="W176" t="str">
        <f t="shared" si="4"/>
        <v>December</v>
      </c>
      <c r="X176">
        <f t="shared" si="5"/>
        <v>1175</v>
      </c>
    </row>
    <row r="177" spans="1:24" x14ac:dyDescent="0.3">
      <c r="A177" t="s">
        <v>225</v>
      </c>
      <c r="B177" s="2">
        <v>45044</v>
      </c>
      <c r="C177" t="s">
        <v>23</v>
      </c>
      <c r="D177" t="s">
        <v>24</v>
      </c>
      <c r="E177" s="3">
        <v>58</v>
      </c>
      <c r="F177" t="s">
        <v>50</v>
      </c>
      <c r="G177" t="s">
        <v>26</v>
      </c>
      <c r="H177" t="s">
        <v>27</v>
      </c>
      <c r="I177" s="4">
        <v>29.3</v>
      </c>
      <c r="J177" s="5">
        <v>147800</v>
      </c>
      <c r="K177" s="5">
        <v>10000</v>
      </c>
      <c r="L177" s="4">
        <v>3.7</v>
      </c>
      <c r="M177" s="3">
        <v>30</v>
      </c>
      <c r="N177" s="3">
        <v>11</v>
      </c>
      <c r="O177" s="3">
        <v>29</v>
      </c>
      <c r="P177" s="4">
        <v>3.8</v>
      </c>
      <c r="Q177" t="s">
        <v>28</v>
      </c>
      <c r="R177" t="s">
        <v>28</v>
      </c>
      <c r="S177" t="s">
        <v>34</v>
      </c>
      <c r="T177" s="2">
        <v>45921</v>
      </c>
      <c r="U177" s="4">
        <v>3.4</v>
      </c>
      <c r="V177" s="4">
        <v>3.5</v>
      </c>
      <c r="W177" t="str">
        <f t="shared" si="4"/>
        <v>April</v>
      </c>
      <c r="X177">
        <f t="shared" si="5"/>
        <v>1176</v>
      </c>
    </row>
    <row r="178" spans="1:24" x14ac:dyDescent="0.3">
      <c r="A178" t="s">
        <v>226</v>
      </c>
      <c r="B178" s="2">
        <v>44979</v>
      </c>
      <c r="C178" t="s">
        <v>36</v>
      </c>
      <c r="D178" t="s">
        <v>41</v>
      </c>
      <c r="E178" s="3">
        <v>23</v>
      </c>
      <c r="F178" t="s">
        <v>25</v>
      </c>
      <c r="G178" t="s">
        <v>26</v>
      </c>
      <c r="H178" t="s">
        <v>63</v>
      </c>
      <c r="I178" s="4">
        <v>1</v>
      </c>
      <c r="J178" s="5">
        <v>50900</v>
      </c>
      <c r="K178" s="5">
        <v>3300</v>
      </c>
      <c r="L178" s="4">
        <v>3.6</v>
      </c>
      <c r="M178" s="3">
        <v>32</v>
      </c>
      <c r="N178" s="3">
        <v>11</v>
      </c>
      <c r="O178" s="3">
        <v>7</v>
      </c>
      <c r="P178" s="4">
        <v>3.8</v>
      </c>
      <c r="Q178" t="s">
        <v>28</v>
      </c>
      <c r="R178" t="s">
        <v>28</v>
      </c>
      <c r="S178" t="s">
        <v>60</v>
      </c>
      <c r="T178" s="2">
        <v>46174</v>
      </c>
      <c r="U178" s="4">
        <v>4</v>
      </c>
      <c r="V178" s="4">
        <v>4.3</v>
      </c>
      <c r="W178" t="str">
        <f t="shared" si="4"/>
        <v>February</v>
      </c>
      <c r="X178">
        <f t="shared" si="5"/>
        <v>1177</v>
      </c>
    </row>
    <row r="179" spans="1:24" x14ac:dyDescent="0.3">
      <c r="A179" t="s">
        <v>227</v>
      </c>
      <c r="B179" s="2">
        <v>45073</v>
      </c>
      <c r="C179" t="s">
        <v>54</v>
      </c>
      <c r="D179" t="s">
        <v>41</v>
      </c>
      <c r="E179" s="3">
        <v>46</v>
      </c>
      <c r="F179" t="s">
        <v>25</v>
      </c>
      <c r="G179" t="s">
        <v>51</v>
      </c>
      <c r="H179" t="s">
        <v>37</v>
      </c>
      <c r="I179" s="4">
        <v>17.8</v>
      </c>
      <c r="J179" s="5">
        <v>94700</v>
      </c>
      <c r="K179" s="5">
        <v>3600</v>
      </c>
      <c r="L179" s="4">
        <v>3.9</v>
      </c>
      <c r="M179" s="3">
        <v>37</v>
      </c>
      <c r="N179" s="3">
        <v>9</v>
      </c>
      <c r="O179" s="3">
        <v>17</v>
      </c>
      <c r="P179" s="4">
        <v>3</v>
      </c>
      <c r="Q179" t="s">
        <v>28</v>
      </c>
      <c r="R179" t="s">
        <v>28</v>
      </c>
      <c r="S179" t="s">
        <v>30</v>
      </c>
      <c r="T179" s="2">
        <v>46203</v>
      </c>
      <c r="U179" s="4">
        <v>2.7</v>
      </c>
      <c r="V179" s="4">
        <v>2.6</v>
      </c>
      <c r="W179" t="str">
        <f t="shared" si="4"/>
        <v>May</v>
      </c>
      <c r="X179">
        <f t="shared" si="5"/>
        <v>1178</v>
      </c>
    </row>
    <row r="180" spans="1:24" x14ac:dyDescent="0.3">
      <c r="A180" t="s">
        <v>228</v>
      </c>
      <c r="B180" s="2">
        <v>45124</v>
      </c>
      <c r="C180" t="s">
        <v>40</v>
      </c>
      <c r="D180" t="s">
        <v>41</v>
      </c>
      <c r="E180" s="3">
        <v>42</v>
      </c>
      <c r="F180" t="s">
        <v>50</v>
      </c>
      <c r="G180" t="s">
        <v>26</v>
      </c>
      <c r="H180" t="s">
        <v>27</v>
      </c>
      <c r="I180" s="4">
        <v>18.899999999999999</v>
      </c>
      <c r="J180" s="5">
        <v>93900</v>
      </c>
      <c r="K180" s="5">
        <v>3200</v>
      </c>
      <c r="L180" s="4">
        <v>3.4</v>
      </c>
      <c r="M180" s="3">
        <v>10</v>
      </c>
      <c r="N180" s="3">
        <v>13</v>
      </c>
      <c r="O180" s="3">
        <v>2</v>
      </c>
      <c r="P180" s="4">
        <v>3.4</v>
      </c>
      <c r="Q180" t="s">
        <v>28</v>
      </c>
      <c r="R180" t="s">
        <v>28</v>
      </c>
      <c r="S180" t="s">
        <v>34</v>
      </c>
      <c r="T180" s="2">
        <v>46028</v>
      </c>
      <c r="U180" s="4">
        <v>5</v>
      </c>
      <c r="V180" s="4">
        <v>5</v>
      </c>
      <c r="W180" t="str">
        <f t="shared" si="4"/>
        <v>July</v>
      </c>
      <c r="X180">
        <f t="shared" si="5"/>
        <v>1179</v>
      </c>
    </row>
    <row r="181" spans="1:24" x14ac:dyDescent="0.3">
      <c r="A181" t="s">
        <v>229</v>
      </c>
      <c r="B181" s="2">
        <v>44563</v>
      </c>
      <c r="C181" t="s">
        <v>54</v>
      </c>
      <c r="D181" t="s">
        <v>24</v>
      </c>
      <c r="E181" s="3">
        <v>43</v>
      </c>
      <c r="F181" t="s">
        <v>25</v>
      </c>
      <c r="G181" t="s">
        <v>33</v>
      </c>
      <c r="H181" t="s">
        <v>27</v>
      </c>
      <c r="I181" s="4">
        <v>21.9</v>
      </c>
      <c r="J181" s="5">
        <v>117700</v>
      </c>
      <c r="K181" s="5">
        <v>7800</v>
      </c>
      <c r="L181" s="4">
        <v>3.3</v>
      </c>
      <c r="M181" s="3">
        <v>12</v>
      </c>
      <c r="N181" s="3">
        <v>12</v>
      </c>
      <c r="O181" s="3">
        <v>2</v>
      </c>
      <c r="P181" s="4">
        <v>4.7</v>
      </c>
      <c r="Q181" t="s">
        <v>28</v>
      </c>
      <c r="R181" t="s">
        <v>28</v>
      </c>
      <c r="S181" t="s">
        <v>38</v>
      </c>
      <c r="T181" s="2">
        <v>46019</v>
      </c>
      <c r="U181" s="4">
        <v>3.3</v>
      </c>
      <c r="V181" s="4">
        <v>3.8</v>
      </c>
      <c r="W181" t="str">
        <f t="shared" si="4"/>
        <v>January</v>
      </c>
      <c r="X181">
        <f t="shared" si="5"/>
        <v>1180</v>
      </c>
    </row>
    <row r="182" spans="1:24" x14ac:dyDescent="0.3">
      <c r="A182" t="s">
        <v>230</v>
      </c>
      <c r="B182" s="2">
        <v>44732</v>
      </c>
      <c r="C182" t="s">
        <v>48</v>
      </c>
      <c r="D182" t="s">
        <v>24</v>
      </c>
      <c r="E182" s="3">
        <v>29</v>
      </c>
      <c r="F182" t="s">
        <v>25</v>
      </c>
      <c r="G182" t="s">
        <v>51</v>
      </c>
      <c r="H182" t="s">
        <v>46</v>
      </c>
      <c r="I182" s="4">
        <v>5.7</v>
      </c>
      <c r="J182" s="5">
        <v>51700</v>
      </c>
      <c r="K182" s="5">
        <v>3800</v>
      </c>
      <c r="L182" s="4">
        <v>2.9</v>
      </c>
      <c r="M182" s="3">
        <v>25</v>
      </c>
      <c r="N182" s="3">
        <v>18</v>
      </c>
      <c r="O182" s="3">
        <v>2</v>
      </c>
      <c r="P182" s="4">
        <v>3.4</v>
      </c>
      <c r="Q182" t="s">
        <v>28</v>
      </c>
      <c r="R182" t="s">
        <v>28</v>
      </c>
      <c r="S182" t="s">
        <v>43</v>
      </c>
      <c r="T182" s="2">
        <v>45310</v>
      </c>
      <c r="U182" s="4">
        <v>4.3</v>
      </c>
      <c r="V182" s="4">
        <v>4.7</v>
      </c>
      <c r="W182" t="str">
        <f t="shared" si="4"/>
        <v>June</v>
      </c>
      <c r="X182">
        <f t="shared" si="5"/>
        <v>1181</v>
      </c>
    </row>
    <row r="183" spans="1:24" x14ac:dyDescent="0.3">
      <c r="A183" t="s">
        <v>231</v>
      </c>
      <c r="B183" s="2">
        <v>45003</v>
      </c>
      <c r="C183" t="s">
        <v>23</v>
      </c>
      <c r="D183" t="s">
        <v>24</v>
      </c>
      <c r="E183" s="3">
        <v>44</v>
      </c>
      <c r="F183" t="s">
        <v>25</v>
      </c>
      <c r="G183" t="s">
        <v>51</v>
      </c>
      <c r="H183" t="s">
        <v>55</v>
      </c>
      <c r="I183" s="4">
        <v>21.9</v>
      </c>
      <c r="J183" s="5">
        <v>107300</v>
      </c>
      <c r="K183" s="5">
        <v>8700</v>
      </c>
      <c r="L183" s="4">
        <v>3.3</v>
      </c>
      <c r="M183" s="3">
        <v>29</v>
      </c>
      <c r="N183" s="3">
        <v>10</v>
      </c>
      <c r="O183" s="3">
        <v>2</v>
      </c>
      <c r="P183" s="4">
        <v>4.3</v>
      </c>
      <c r="Q183" t="s">
        <v>28</v>
      </c>
      <c r="R183" t="s">
        <v>28</v>
      </c>
      <c r="S183" t="s">
        <v>43</v>
      </c>
      <c r="T183" s="2">
        <v>45588</v>
      </c>
      <c r="U183" s="4">
        <v>2.2000000000000002</v>
      </c>
      <c r="V183" s="4">
        <v>2</v>
      </c>
      <c r="W183" t="str">
        <f t="shared" si="4"/>
        <v>March</v>
      </c>
      <c r="X183">
        <f t="shared" si="5"/>
        <v>1182</v>
      </c>
    </row>
    <row r="184" spans="1:24" x14ac:dyDescent="0.3">
      <c r="A184" t="s">
        <v>232</v>
      </c>
      <c r="B184" s="2">
        <v>45315</v>
      </c>
      <c r="C184" t="s">
        <v>32</v>
      </c>
      <c r="D184" t="s">
        <v>41</v>
      </c>
      <c r="E184" s="3">
        <v>54</v>
      </c>
      <c r="F184" t="s">
        <v>25</v>
      </c>
      <c r="G184" t="s">
        <v>26</v>
      </c>
      <c r="H184" t="s">
        <v>63</v>
      </c>
      <c r="I184" s="4">
        <v>31.3</v>
      </c>
      <c r="J184" s="5">
        <v>143100</v>
      </c>
      <c r="K184" s="5">
        <v>3300</v>
      </c>
      <c r="L184" s="4">
        <v>4</v>
      </c>
      <c r="M184" s="3">
        <v>33</v>
      </c>
      <c r="N184" s="3">
        <v>10</v>
      </c>
      <c r="O184" s="3">
        <v>17</v>
      </c>
      <c r="P184" s="4">
        <v>3.6</v>
      </c>
      <c r="Q184" t="s">
        <v>28</v>
      </c>
      <c r="R184" t="s">
        <v>29</v>
      </c>
      <c r="S184" t="s">
        <v>43</v>
      </c>
      <c r="T184" s="2">
        <v>46161</v>
      </c>
      <c r="U184" s="4">
        <v>3.8</v>
      </c>
      <c r="V184" s="4">
        <v>3.7</v>
      </c>
      <c r="W184" t="str">
        <f t="shared" si="4"/>
        <v>January</v>
      </c>
      <c r="X184">
        <f t="shared" si="5"/>
        <v>1183</v>
      </c>
    </row>
    <row r="185" spans="1:24" x14ac:dyDescent="0.3">
      <c r="A185" t="s">
        <v>233</v>
      </c>
      <c r="B185" s="2">
        <v>45408</v>
      </c>
      <c r="C185" t="s">
        <v>36</v>
      </c>
      <c r="D185" t="s">
        <v>41</v>
      </c>
      <c r="E185" s="3">
        <v>30</v>
      </c>
      <c r="F185" t="s">
        <v>25</v>
      </c>
      <c r="G185" t="s">
        <v>26</v>
      </c>
      <c r="H185" t="s">
        <v>55</v>
      </c>
      <c r="I185" s="4">
        <v>9</v>
      </c>
      <c r="J185" s="5">
        <v>65000</v>
      </c>
      <c r="K185" s="5">
        <v>7300</v>
      </c>
      <c r="L185" s="4">
        <v>3.7</v>
      </c>
      <c r="M185" s="3">
        <v>35</v>
      </c>
      <c r="N185" s="3">
        <v>12</v>
      </c>
      <c r="O185" s="3">
        <v>4</v>
      </c>
      <c r="P185" s="4">
        <v>4.0999999999999996</v>
      </c>
      <c r="Q185" t="s">
        <v>28</v>
      </c>
      <c r="R185" t="s">
        <v>28</v>
      </c>
      <c r="S185" t="s">
        <v>38</v>
      </c>
      <c r="T185" s="2">
        <v>45944</v>
      </c>
      <c r="U185" s="4">
        <v>3</v>
      </c>
      <c r="V185" s="4">
        <v>3.1</v>
      </c>
      <c r="W185" t="str">
        <f t="shared" si="4"/>
        <v>April</v>
      </c>
      <c r="X185">
        <f t="shared" si="5"/>
        <v>1184</v>
      </c>
    </row>
    <row r="186" spans="1:24" x14ac:dyDescent="0.3">
      <c r="A186" t="s">
        <v>234</v>
      </c>
      <c r="B186" s="2">
        <v>44395</v>
      </c>
      <c r="C186" t="s">
        <v>40</v>
      </c>
      <c r="D186" t="s">
        <v>24</v>
      </c>
      <c r="E186" s="3">
        <v>31</v>
      </c>
      <c r="F186" t="s">
        <v>25</v>
      </c>
      <c r="G186" t="s">
        <v>33</v>
      </c>
      <c r="H186" t="s">
        <v>52</v>
      </c>
      <c r="I186" s="4">
        <v>5.0999999999999996</v>
      </c>
      <c r="J186" s="5">
        <v>66200</v>
      </c>
      <c r="K186" s="5">
        <v>7800</v>
      </c>
      <c r="L186" s="4">
        <v>3.9</v>
      </c>
      <c r="M186" s="3">
        <v>26</v>
      </c>
      <c r="N186" s="3">
        <v>12</v>
      </c>
      <c r="O186" s="3">
        <v>16</v>
      </c>
      <c r="P186" s="4">
        <v>4.2</v>
      </c>
      <c r="Q186" t="s">
        <v>28</v>
      </c>
      <c r="R186" t="s">
        <v>28</v>
      </c>
      <c r="S186" t="s">
        <v>38</v>
      </c>
      <c r="T186" s="2">
        <v>45522</v>
      </c>
      <c r="U186" s="4">
        <v>2.9</v>
      </c>
      <c r="V186" s="4">
        <v>3.5</v>
      </c>
      <c r="W186" t="str">
        <f t="shared" si="4"/>
        <v>July</v>
      </c>
      <c r="X186">
        <f t="shared" si="5"/>
        <v>1185</v>
      </c>
    </row>
    <row r="187" spans="1:24" x14ac:dyDescent="0.3">
      <c r="A187" t="s">
        <v>235</v>
      </c>
      <c r="B187" s="2">
        <v>45246</v>
      </c>
      <c r="C187" t="s">
        <v>48</v>
      </c>
      <c r="D187" t="s">
        <v>41</v>
      </c>
      <c r="E187" s="3">
        <v>32</v>
      </c>
      <c r="F187" t="s">
        <v>25</v>
      </c>
      <c r="G187" t="s">
        <v>51</v>
      </c>
      <c r="H187" t="s">
        <v>63</v>
      </c>
      <c r="I187" s="4">
        <v>8.8000000000000007</v>
      </c>
      <c r="J187" s="5">
        <v>49600</v>
      </c>
      <c r="K187" s="5">
        <v>5900</v>
      </c>
      <c r="L187" s="4">
        <v>4</v>
      </c>
      <c r="M187" s="3">
        <v>30</v>
      </c>
      <c r="N187" s="3">
        <v>13</v>
      </c>
      <c r="O187" s="3">
        <v>28</v>
      </c>
      <c r="P187" s="4">
        <v>4.2</v>
      </c>
      <c r="Q187" t="s">
        <v>28</v>
      </c>
      <c r="R187" t="s">
        <v>29</v>
      </c>
      <c r="S187" t="s">
        <v>34</v>
      </c>
      <c r="T187" s="2">
        <v>46203</v>
      </c>
      <c r="U187" s="4">
        <v>3.5</v>
      </c>
      <c r="V187" s="4">
        <v>4.2</v>
      </c>
      <c r="W187" t="str">
        <f t="shared" si="4"/>
        <v>November</v>
      </c>
      <c r="X187">
        <f t="shared" si="5"/>
        <v>1186</v>
      </c>
    </row>
    <row r="188" spans="1:24" x14ac:dyDescent="0.3">
      <c r="A188" t="s">
        <v>236</v>
      </c>
      <c r="B188" s="2">
        <v>45563</v>
      </c>
      <c r="C188" t="s">
        <v>48</v>
      </c>
      <c r="D188" t="s">
        <v>24</v>
      </c>
      <c r="E188" s="3">
        <v>27</v>
      </c>
      <c r="F188" t="s">
        <v>25</v>
      </c>
      <c r="G188" t="s">
        <v>42</v>
      </c>
      <c r="H188" t="s">
        <v>27</v>
      </c>
      <c r="I188" s="4">
        <v>1.6</v>
      </c>
      <c r="J188" s="5">
        <v>74100</v>
      </c>
      <c r="K188" s="5">
        <v>6200</v>
      </c>
      <c r="L188" s="4">
        <v>1.7</v>
      </c>
      <c r="M188" s="3">
        <v>5</v>
      </c>
      <c r="N188" s="3">
        <v>16</v>
      </c>
      <c r="O188" s="3">
        <v>25</v>
      </c>
      <c r="P188" s="4">
        <v>3.5</v>
      </c>
      <c r="Q188" t="s">
        <v>28</v>
      </c>
      <c r="R188" t="s">
        <v>28</v>
      </c>
      <c r="S188" t="s">
        <v>34</v>
      </c>
      <c r="T188" s="2">
        <v>46055</v>
      </c>
      <c r="U188" s="4">
        <v>4.3</v>
      </c>
      <c r="V188" s="4">
        <v>4.5999999999999996</v>
      </c>
      <c r="W188" t="str">
        <f t="shared" si="4"/>
        <v>September</v>
      </c>
      <c r="X188">
        <f t="shared" si="5"/>
        <v>1187</v>
      </c>
    </row>
    <row r="189" spans="1:24" x14ac:dyDescent="0.3">
      <c r="A189" t="s">
        <v>237</v>
      </c>
      <c r="B189" s="2">
        <v>45859</v>
      </c>
      <c r="C189" t="s">
        <v>40</v>
      </c>
      <c r="D189" t="s">
        <v>41</v>
      </c>
      <c r="E189" s="3">
        <v>32</v>
      </c>
      <c r="F189" t="s">
        <v>50</v>
      </c>
      <c r="G189" t="s">
        <v>26</v>
      </c>
      <c r="H189" t="s">
        <v>37</v>
      </c>
      <c r="I189" s="4">
        <v>6.9</v>
      </c>
      <c r="J189" s="5">
        <v>54200</v>
      </c>
      <c r="K189" s="5">
        <v>1400</v>
      </c>
      <c r="L189" s="4">
        <v>2.7</v>
      </c>
      <c r="M189" s="3">
        <v>32</v>
      </c>
      <c r="N189" s="3">
        <v>13</v>
      </c>
      <c r="O189" s="3">
        <v>11</v>
      </c>
      <c r="P189" s="4">
        <v>3.2</v>
      </c>
      <c r="Q189" t="s">
        <v>28</v>
      </c>
      <c r="R189" t="s">
        <v>28</v>
      </c>
      <c r="S189" t="s">
        <v>34</v>
      </c>
      <c r="T189" s="2">
        <v>46203</v>
      </c>
      <c r="U189" s="4">
        <v>3</v>
      </c>
      <c r="V189" s="4">
        <v>3.8</v>
      </c>
      <c r="W189" t="str">
        <f t="shared" si="4"/>
        <v>July</v>
      </c>
      <c r="X189">
        <f t="shared" si="5"/>
        <v>1188</v>
      </c>
    </row>
    <row r="190" spans="1:24" x14ac:dyDescent="0.3">
      <c r="A190" t="s">
        <v>238</v>
      </c>
      <c r="B190" s="2">
        <v>45590</v>
      </c>
      <c r="C190" t="s">
        <v>54</v>
      </c>
      <c r="D190" t="s">
        <v>41</v>
      </c>
      <c r="E190" s="3">
        <v>33</v>
      </c>
      <c r="F190" t="s">
        <v>50</v>
      </c>
      <c r="G190" t="s">
        <v>26</v>
      </c>
      <c r="H190" t="s">
        <v>46</v>
      </c>
      <c r="I190" s="4">
        <v>11.8</v>
      </c>
      <c r="J190" s="5">
        <v>78300</v>
      </c>
      <c r="K190" s="5">
        <v>7600</v>
      </c>
      <c r="L190" s="4">
        <v>3</v>
      </c>
      <c r="M190" s="3">
        <v>6</v>
      </c>
      <c r="N190" s="3">
        <v>7</v>
      </c>
      <c r="O190" s="3">
        <v>29</v>
      </c>
      <c r="P190" s="4">
        <v>2.9</v>
      </c>
      <c r="Q190" t="s">
        <v>28</v>
      </c>
      <c r="R190" t="s">
        <v>28</v>
      </c>
      <c r="S190" t="s">
        <v>38</v>
      </c>
      <c r="T190" s="2">
        <v>45942</v>
      </c>
      <c r="U190" s="4">
        <v>4.4000000000000004</v>
      </c>
      <c r="V190" s="4">
        <v>4.7</v>
      </c>
      <c r="W190" t="str">
        <f t="shared" si="4"/>
        <v>October</v>
      </c>
      <c r="X190">
        <f t="shared" si="5"/>
        <v>1189</v>
      </c>
    </row>
    <row r="191" spans="1:24" x14ac:dyDescent="0.3">
      <c r="A191" t="s">
        <v>239</v>
      </c>
      <c r="B191" s="2">
        <v>45338</v>
      </c>
      <c r="C191" t="s">
        <v>54</v>
      </c>
      <c r="D191" t="s">
        <v>24</v>
      </c>
      <c r="E191" s="3">
        <v>41</v>
      </c>
      <c r="F191" t="s">
        <v>25</v>
      </c>
      <c r="G191" t="s">
        <v>51</v>
      </c>
      <c r="H191" t="s">
        <v>52</v>
      </c>
      <c r="I191" s="4">
        <v>17.3</v>
      </c>
      <c r="J191" s="5">
        <v>92000</v>
      </c>
      <c r="K191" s="5">
        <v>5600</v>
      </c>
      <c r="L191" s="4">
        <v>3.7</v>
      </c>
      <c r="M191" s="3">
        <v>22</v>
      </c>
      <c r="N191" s="3">
        <v>16</v>
      </c>
      <c r="O191" s="3">
        <v>1</v>
      </c>
      <c r="P191" s="4">
        <v>3.8</v>
      </c>
      <c r="Q191" t="s">
        <v>28</v>
      </c>
      <c r="R191" t="s">
        <v>28</v>
      </c>
      <c r="S191" t="s">
        <v>30</v>
      </c>
      <c r="T191" s="2">
        <v>46203</v>
      </c>
      <c r="U191" s="4">
        <v>4.4000000000000004</v>
      </c>
      <c r="V191" s="4">
        <v>4.8</v>
      </c>
      <c r="W191" t="str">
        <f t="shared" si="4"/>
        <v>February</v>
      </c>
      <c r="X191">
        <f t="shared" si="5"/>
        <v>1190</v>
      </c>
    </row>
    <row r="192" spans="1:24" x14ac:dyDescent="0.3">
      <c r="A192" t="s">
        <v>240</v>
      </c>
      <c r="B192" s="2">
        <v>45471</v>
      </c>
      <c r="C192" t="s">
        <v>32</v>
      </c>
      <c r="D192" t="s">
        <v>41</v>
      </c>
      <c r="E192" s="3">
        <v>54</v>
      </c>
      <c r="F192" t="s">
        <v>57</v>
      </c>
      <c r="G192" t="s">
        <v>51</v>
      </c>
      <c r="H192" t="s">
        <v>27</v>
      </c>
      <c r="I192" s="4">
        <v>27.5</v>
      </c>
      <c r="J192" s="5">
        <v>128900</v>
      </c>
      <c r="K192" s="5">
        <v>3900</v>
      </c>
      <c r="L192" s="4">
        <v>4.2</v>
      </c>
      <c r="M192" s="3">
        <v>14</v>
      </c>
      <c r="N192" s="3">
        <v>13</v>
      </c>
      <c r="O192" s="3">
        <v>16</v>
      </c>
      <c r="P192" s="4">
        <v>2.7</v>
      </c>
      <c r="Q192" t="s">
        <v>29</v>
      </c>
      <c r="R192" t="s">
        <v>29</v>
      </c>
      <c r="S192" t="s">
        <v>60</v>
      </c>
      <c r="T192" s="2">
        <v>45800</v>
      </c>
      <c r="U192" s="4">
        <v>3.3</v>
      </c>
      <c r="V192" s="4">
        <v>3.7</v>
      </c>
      <c r="W192" t="str">
        <f t="shared" si="4"/>
        <v>June</v>
      </c>
      <c r="X192">
        <f t="shared" si="5"/>
        <v>1191</v>
      </c>
    </row>
    <row r="193" spans="1:24" x14ac:dyDescent="0.3">
      <c r="A193" t="s">
        <v>241</v>
      </c>
      <c r="B193" s="2">
        <v>44475</v>
      </c>
      <c r="C193" t="s">
        <v>40</v>
      </c>
      <c r="D193" t="s">
        <v>41</v>
      </c>
      <c r="E193" s="3">
        <v>57</v>
      </c>
      <c r="F193" t="s">
        <v>25</v>
      </c>
      <c r="G193" t="s">
        <v>26</v>
      </c>
      <c r="H193" t="s">
        <v>27</v>
      </c>
      <c r="I193" s="4">
        <v>28.7</v>
      </c>
      <c r="J193" s="5">
        <v>140800</v>
      </c>
      <c r="K193" s="5">
        <v>9400</v>
      </c>
      <c r="L193" s="4">
        <v>3.9</v>
      </c>
      <c r="M193" s="3">
        <v>31</v>
      </c>
      <c r="N193" s="3">
        <v>20</v>
      </c>
      <c r="O193" s="3">
        <v>19</v>
      </c>
      <c r="P193" s="4">
        <v>4.4000000000000004</v>
      </c>
      <c r="Q193" t="s">
        <v>28</v>
      </c>
      <c r="R193" t="s">
        <v>28</v>
      </c>
      <c r="S193" t="s">
        <v>60</v>
      </c>
      <c r="T193" s="2">
        <v>44747</v>
      </c>
      <c r="U193" s="4">
        <v>3</v>
      </c>
      <c r="V193" s="4">
        <v>3.3</v>
      </c>
      <c r="W193" t="str">
        <f t="shared" si="4"/>
        <v>October</v>
      </c>
      <c r="X193">
        <f t="shared" si="5"/>
        <v>1192</v>
      </c>
    </row>
    <row r="194" spans="1:24" x14ac:dyDescent="0.3">
      <c r="A194" t="s">
        <v>242</v>
      </c>
      <c r="B194" s="2">
        <v>44377</v>
      </c>
      <c r="C194" t="s">
        <v>23</v>
      </c>
      <c r="D194" t="s">
        <v>41</v>
      </c>
      <c r="E194" s="3">
        <v>46</v>
      </c>
      <c r="F194" t="s">
        <v>57</v>
      </c>
      <c r="G194" t="s">
        <v>33</v>
      </c>
      <c r="H194" t="s">
        <v>55</v>
      </c>
      <c r="I194" s="4">
        <v>20.9</v>
      </c>
      <c r="J194" s="5">
        <v>117000</v>
      </c>
      <c r="K194" s="5">
        <v>12700</v>
      </c>
      <c r="L194" s="4">
        <v>3</v>
      </c>
      <c r="M194" s="3">
        <v>17</v>
      </c>
      <c r="N194" s="3">
        <v>13</v>
      </c>
      <c r="O194" s="3">
        <v>25</v>
      </c>
      <c r="P194" s="4">
        <v>3.5</v>
      </c>
      <c r="Q194" t="s">
        <v>28</v>
      </c>
      <c r="R194" t="s">
        <v>28</v>
      </c>
      <c r="S194" t="s">
        <v>43</v>
      </c>
      <c r="T194" s="2">
        <v>45850</v>
      </c>
      <c r="U194" s="4">
        <v>2.9</v>
      </c>
      <c r="V194" s="4">
        <v>3.3</v>
      </c>
      <c r="W194" t="str">
        <f t="shared" ref="W194:W257" si="6">TEXT(B194,"mmmm")</f>
        <v>June</v>
      </c>
      <c r="X194">
        <f t="shared" ref="X194:X257" si="7">VALUE(RIGHT(A194,LEN(A194)-3))</f>
        <v>1193</v>
      </c>
    </row>
    <row r="195" spans="1:24" x14ac:dyDescent="0.3">
      <c r="A195" t="s">
        <v>243</v>
      </c>
      <c r="B195" s="2">
        <v>45306</v>
      </c>
      <c r="C195" t="s">
        <v>23</v>
      </c>
      <c r="D195" t="s">
        <v>41</v>
      </c>
      <c r="E195" s="3">
        <v>27</v>
      </c>
      <c r="F195" t="s">
        <v>25</v>
      </c>
      <c r="G195" t="s">
        <v>26</v>
      </c>
      <c r="H195" t="s">
        <v>52</v>
      </c>
      <c r="I195" s="4">
        <v>1.4</v>
      </c>
      <c r="J195" s="5">
        <v>34700</v>
      </c>
      <c r="K195" s="5">
        <v>3600</v>
      </c>
      <c r="L195" s="4">
        <v>4.3</v>
      </c>
      <c r="M195" s="3">
        <v>5</v>
      </c>
      <c r="N195" s="3">
        <v>12</v>
      </c>
      <c r="O195" s="3">
        <v>12</v>
      </c>
      <c r="P195" s="4">
        <v>3.2</v>
      </c>
      <c r="Q195" t="s">
        <v>28</v>
      </c>
      <c r="R195" t="s">
        <v>28</v>
      </c>
      <c r="S195" t="s">
        <v>60</v>
      </c>
      <c r="T195" s="2">
        <v>45733</v>
      </c>
      <c r="U195" s="4">
        <v>2.4</v>
      </c>
      <c r="V195" s="4">
        <v>2.7</v>
      </c>
      <c r="W195" t="str">
        <f t="shared" si="6"/>
        <v>January</v>
      </c>
      <c r="X195">
        <f t="shared" si="7"/>
        <v>1194</v>
      </c>
    </row>
    <row r="196" spans="1:24" x14ac:dyDescent="0.3">
      <c r="A196" t="s">
        <v>244</v>
      </c>
      <c r="B196" s="2">
        <v>45399</v>
      </c>
      <c r="C196" t="s">
        <v>32</v>
      </c>
      <c r="D196" t="s">
        <v>41</v>
      </c>
      <c r="E196" s="3">
        <v>31</v>
      </c>
      <c r="F196" t="s">
        <v>25</v>
      </c>
      <c r="G196" t="s">
        <v>26</v>
      </c>
      <c r="H196" t="s">
        <v>46</v>
      </c>
      <c r="I196" s="4">
        <v>10.8</v>
      </c>
      <c r="J196" s="5">
        <v>75800</v>
      </c>
      <c r="K196" s="5">
        <v>8900</v>
      </c>
      <c r="L196" s="4">
        <v>4</v>
      </c>
      <c r="M196" s="3">
        <v>11</v>
      </c>
      <c r="N196" s="3">
        <v>13</v>
      </c>
      <c r="O196" s="3">
        <v>19</v>
      </c>
      <c r="P196" s="4">
        <v>1.2</v>
      </c>
      <c r="Q196" t="s">
        <v>28</v>
      </c>
      <c r="R196" t="s">
        <v>29</v>
      </c>
      <c r="S196" t="s">
        <v>30</v>
      </c>
      <c r="T196" s="2">
        <v>46203</v>
      </c>
      <c r="U196" s="4">
        <v>4.3</v>
      </c>
      <c r="V196" s="4">
        <v>5</v>
      </c>
      <c r="W196" t="str">
        <f t="shared" si="6"/>
        <v>April</v>
      </c>
      <c r="X196">
        <f t="shared" si="7"/>
        <v>1195</v>
      </c>
    </row>
    <row r="197" spans="1:24" x14ac:dyDescent="0.3">
      <c r="A197" t="s">
        <v>245</v>
      </c>
      <c r="B197" s="2">
        <v>45708</v>
      </c>
      <c r="C197" t="s">
        <v>48</v>
      </c>
      <c r="D197" t="s">
        <v>24</v>
      </c>
      <c r="E197" s="3">
        <v>35</v>
      </c>
      <c r="F197" t="s">
        <v>57</v>
      </c>
      <c r="G197" t="s">
        <v>26</v>
      </c>
      <c r="H197" t="s">
        <v>63</v>
      </c>
      <c r="I197" s="4">
        <v>12</v>
      </c>
      <c r="J197" s="5">
        <v>77900</v>
      </c>
      <c r="K197" s="5">
        <v>6800</v>
      </c>
      <c r="L197" s="4">
        <v>4.4000000000000004</v>
      </c>
      <c r="M197" s="3">
        <v>21</v>
      </c>
      <c r="N197" s="3">
        <v>7</v>
      </c>
      <c r="O197" s="3">
        <v>1</v>
      </c>
      <c r="P197" s="4">
        <v>2.7</v>
      </c>
      <c r="Q197" t="s">
        <v>28</v>
      </c>
      <c r="R197" t="s">
        <v>29</v>
      </c>
      <c r="S197" t="s">
        <v>43</v>
      </c>
      <c r="T197" s="2">
        <v>46138</v>
      </c>
      <c r="U197" s="4">
        <v>3.8</v>
      </c>
      <c r="V197" s="4">
        <v>4</v>
      </c>
      <c r="W197" t="str">
        <f t="shared" si="6"/>
        <v>February</v>
      </c>
      <c r="X197">
        <f t="shared" si="7"/>
        <v>1196</v>
      </c>
    </row>
    <row r="198" spans="1:24" x14ac:dyDescent="0.3">
      <c r="A198" t="s">
        <v>246</v>
      </c>
      <c r="B198" s="2">
        <v>45729</v>
      </c>
      <c r="C198" t="s">
        <v>23</v>
      </c>
      <c r="D198" t="s">
        <v>41</v>
      </c>
      <c r="E198" s="3">
        <v>45</v>
      </c>
      <c r="F198" t="s">
        <v>25</v>
      </c>
      <c r="G198" t="s">
        <v>26</v>
      </c>
      <c r="H198" t="s">
        <v>46</v>
      </c>
      <c r="I198" s="4">
        <v>24.5</v>
      </c>
      <c r="J198" s="5">
        <v>138800</v>
      </c>
      <c r="K198" s="5">
        <v>13800</v>
      </c>
      <c r="L198" s="4">
        <v>2.8</v>
      </c>
      <c r="M198" s="3">
        <v>18</v>
      </c>
      <c r="N198" s="3">
        <v>9</v>
      </c>
      <c r="O198" s="3">
        <v>3</v>
      </c>
      <c r="P198" s="4">
        <v>2.9</v>
      </c>
      <c r="Q198" t="s">
        <v>28</v>
      </c>
      <c r="R198" t="s">
        <v>28</v>
      </c>
      <c r="S198" t="s">
        <v>38</v>
      </c>
      <c r="T198" s="2">
        <v>46203</v>
      </c>
      <c r="U198" s="4">
        <v>2.6</v>
      </c>
      <c r="V198" s="4">
        <v>3.2</v>
      </c>
      <c r="W198" t="str">
        <f t="shared" si="6"/>
        <v>March</v>
      </c>
      <c r="X198">
        <f t="shared" si="7"/>
        <v>1197</v>
      </c>
    </row>
    <row r="199" spans="1:24" x14ac:dyDescent="0.3">
      <c r="A199" t="s">
        <v>247</v>
      </c>
      <c r="B199" s="2">
        <v>44254</v>
      </c>
      <c r="C199" t="s">
        <v>54</v>
      </c>
      <c r="D199" t="s">
        <v>24</v>
      </c>
      <c r="E199" s="3">
        <v>43</v>
      </c>
      <c r="F199" t="s">
        <v>25</v>
      </c>
      <c r="G199" t="s">
        <v>33</v>
      </c>
      <c r="H199" t="s">
        <v>63</v>
      </c>
      <c r="I199" s="4">
        <v>24.6</v>
      </c>
      <c r="J199" s="5">
        <v>128800</v>
      </c>
      <c r="K199" s="5">
        <v>7100</v>
      </c>
      <c r="L199" s="4">
        <v>4.2</v>
      </c>
      <c r="M199" s="3">
        <v>19</v>
      </c>
      <c r="N199" s="3">
        <v>13</v>
      </c>
      <c r="O199" s="3">
        <v>23</v>
      </c>
      <c r="P199" s="4">
        <v>3.9</v>
      </c>
      <c r="Q199" t="s">
        <v>28</v>
      </c>
      <c r="R199" t="s">
        <v>29</v>
      </c>
      <c r="S199" t="s">
        <v>34</v>
      </c>
      <c r="T199" s="2">
        <v>44562</v>
      </c>
      <c r="U199" s="4">
        <v>2.4</v>
      </c>
      <c r="V199" s="4">
        <v>2.8</v>
      </c>
      <c r="W199" t="str">
        <f t="shared" si="6"/>
        <v>February</v>
      </c>
      <c r="X199">
        <f t="shared" si="7"/>
        <v>1198</v>
      </c>
    </row>
    <row r="200" spans="1:24" x14ac:dyDescent="0.3">
      <c r="A200" t="s">
        <v>248</v>
      </c>
      <c r="B200" s="2">
        <v>45276</v>
      </c>
      <c r="C200" t="s">
        <v>36</v>
      </c>
      <c r="D200" t="s">
        <v>41</v>
      </c>
      <c r="E200" s="3">
        <v>55</v>
      </c>
      <c r="F200" t="s">
        <v>25</v>
      </c>
      <c r="G200" t="s">
        <v>51</v>
      </c>
      <c r="H200" t="s">
        <v>46</v>
      </c>
      <c r="I200" s="4">
        <v>35</v>
      </c>
      <c r="J200" s="5">
        <v>149100</v>
      </c>
      <c r="K200" s="5">
        <v>3800</v>
      </c>
      <c r="L200" s="4">
        <v>3.7</v>
      </c>
      <c r="M200" s="3">
        <v>30</v>
      </c>
      <c r="N200" s="3">
        <v>16</v>
      </c>
      <c r="O200" s="3">
        <v>5</v>
      </c>
      <c r="P200" s="4">
        <v>2.7</v>
      </c>
      <c r="Q200" t="s">
        <v>28</v>
      </c>
      <c r="R200" t="s">
        <v>28</v>
      </c>
      <c r="S200" t="s">
        <v>30</v>
      </c>
      <c r="T200" s="2">
        <v>46189</v>
      </c>
      <c r="U200" s="4">
        <v>3.6</v>
      </c>
      <c r="V200" s="4">
        <v>3.5</v>
      </c>
      <c r="W200" t="str">
        <f t="shared" si="6"/>
        <v>December</v>
      </c>
      <c r="X200">
        <f t="shared" si="7"/>
        <v>1199</v>
      </c>
    </row>
    <row r="201" spans="1:24" x14ac:dyDescent="0.3">
      <c r="A201" t="s">
        <v>249</v>
      </c>
      <c r="B201" s="2">
        <v>45157</v>
      </c>
      <c r="C201" t="s">
        <v>40</v>
      </c>
      <c r="D201" t="s">
        <v>41</v>
      </c>
      <c r="E201" s="3">
        <v>39</v>
      </c>
      <c r="F201" t="s">
        <v>25</v>
      </c>
      <c r="G201" t="s">
        <v>26</v>
      </c>
      <c r="H201" t="s">
        <v>46</v>
      </c>
      <c r="I201" s="4">
        <v>18.2</v>
      </c>
      <c r="J201" s="5">
        <v>107000</v>
      </c>
      <c r="K201" s="5">
        <v>2500</v>
      </c>
      <c r="L201" s="4">
        <v>3.6</v>
      </c>
      <c r="M201" s="3">
        <v>26</v>
      </c>
      <c r="N201" s="3">
        <v>11</v>
      </c>
      <c r="O201" s="3">
        <v>29</v>
      </c>
      <c r="P201" s="4">
        <v>3.5</v>
      </c>
      <c r="Q201" t="s">
        <v>28</v>
      </c>
      <c r="R201" t="s">
        <v>28</v>
      </c>
      <c r="S201" t="s">
        <v>60</v>
      </c>
      <c r="T201" s="2">
        <v>46203</v>
      </c>
      <c r="U201" s="4">
        <v>4.2</v>
      </c>
      <c r="V201" s="4">
        <v>4.2</v>
      </c>
      <c r="W201" t="str">
        <f t="shared" si="6"/>
        <v>August</v>
      </c>
      <c r="X201">
        <f t="shared" si="7"/>
        <v>1200</v>
      </c>
    </row>
    <row r="202" spans="1:24" x14ac:dyDescent="0.3">
      <c r="A202" t="s">
        <v>250</v>
      </c>
      <c r="B202" s="2">
        <v>45150</v>
      </c>
      <c r="C202" t="s">
        <v>40</v>
      </c>
      <c r="D202" t="s">
        <v>41</v>
      </c>
      <c r="E202" s="3">
        <v>28</v>
      </c>
      <c r="F202" t="s">
        <v>25</v>
      </c>
      <c r="G202" t="s">
        <v>26</v>
      </c>
      <c r="H202" t="s">
        <v>63</v>
      </c>
      <c r="I202" s="4">
        <v>5.4</v>
      </c>
      <c r="J202" s="5">
        <v>52100</v>
      </c>
      <c r="K202" s="5">
        <v>3600</v>
      </c>
      <c r="L202" s="4">
        <v>4.4000000000000004</v>
      </c>
      <c r="M202" s="3">
        <v>7</v>
      </c>
      <c r="N202" s="3">
        <v>8</v>
      </c>
      <c r="O202" s="3">
        <v>28</v>
      </c>
      <c r="P202" s="4">
        <v>3.5</v>
      </c>
      <c r="Q202" t="s">
        <v>28</v>
      </c>
      <c r="R202" t="s">
        <v>29</v>
      </c>
      <c r="S202" t="s">
        <v>43</v>
      </c>
      <c r="T202" s="2">
        <v>45437</v>
      </c>
      <c r="U202" s="4">
        <v>3.9</v>
      </c>
      <c r="V202" s="4">
        <v>4.5</v>
      </c>
      <c r="W202" t="str">
        <f t="shared" si="6"/>
        <v>August</v>
      </c>
      <c r="X202">
        <f t="shared" si="7"/>
        <v>1201</v>
      </c>
    </row>
    <row r="203" spans="1:24" x14ac:dyDescent="0.3">
      <c r="A203" t="s">
        <v>251</v>
      </c>
      <c r="B203" s="2">
        <v>45279</v>
      </c>
      <c r="C203" t="s">
        <v>23</v>
      </c>
      <c r="D203" t="s">
        <v>24</v>
      </c>
      <c r="E203" s="3">
        <v>46</v>
      </c>
      <c r="F203" t="s">
        <v>25</v>
      </c>
      <c r="G203" t="s">
        <v>42</v>
      </c>
      <c r="H203" t="s">
        <v>46</v>
      </c>
      <c r="I203" s="4">
        <v>22</v>
      </c>
      <c r="J203" s="5">
        <v>145500</v>
      </c>
      <c r="K203" s="5">
        <v>5100</v>
      </c>
      <c r="L203" s="4">
        <v>3.2</v>
      </c>
      <c r="M203" s="3">
        <v>35</v>
      </c>
      <c r="N203" s="3">
        <v>6</v>
      </c>
      <c r="O203" s="3">
        <v>15</v>
      </c>
      <c r="P203" s="4">
        <v>3.1</v>
      </c>
      <c r="Q203" t="s">
        <v>28</v>
      </c>
      <c r="R203" t="s">
        <v>28</v>
      </c>
      <c r="S203" t="s">
        <v>43</v>
      </c>
      <c r="T203" s="2">
        <v>46203</v>
      </c>
      <c r="U203" s="4">
        <v>3.8</v>
      </c>
      <c r="V203" s="4">
        <v>4.0999999999999996</v>
      </c>
      <c r="W203" t="str">
        <f t="shared" si="6"/>
        <v>December</v>
      </c>
      <c r="X203">
        <f t="shared" si="7"/>
        <v>1202</v>
      </c>
    </row>
    <row r="204" spans="1:24" x14ac:dyDescent="0.3">
      <c r="A204" t="s">
        <v>252</v>
      </c>
      <c r="B204" s="2">
        <v>45988</v>
      </c>
      <c r="C204" t="s">
        <v>36</v>
      </c>
      <c r="D204" t="s">
        <v>41</v>
      </c>
      <c r="E204" s="3">
        <v>58</v>
      </c>
      <c r="F204" t="s">
        <v>50</v>
      </c>
      <c r="G204" t="s">
        <v>33</v>
      </c>
      <c r="H204" t="s">
        <v>27</v>
      </c>
      <c r="I204" s="4">
        <v>33</v>
      </c>
      <c r="J204" s="5">
        <v>152800</v>
      </c>
      <c r="K204" s="5">
        <v>11400</v>
      </c>
      <c r="L204" s="4">
        <v>3.1</v>
      </c>
      <c r="M204" s="3">
        <v>34</v>
      </c>
      <c r="N204" s="3">
        <v>9</v>
      </c>
      <c r="O204" s="3">
        <v>11</v>
      </c>
      <c r="P204" s="4">
        <v>3.6</v>
      </c>
      <c r="Q204" t="s">
        <v>28</v>
      </c>
      <c r="R204" t="s">
        <v>28</v>
      </c>
      <c r="S204" t="s">
        <v>60</v>
      </c>
      <c r="T204" s="2">
        <v>46203</v>
      </c>
      <c r="U204" s="4">
        <v>3.8</v>
      </c>
      <c r="V204" s="4">
        <v>4.5999999999999996</v>
      </c>
      <c r="W204" t="str">
        <f t="shared" si="6"/>
        <v>November</v>
      </c>
      <c r="X204">
        <f t="shared" si="7"/>
        <v>1203</v>
      </c>
    </row>
    <row r="205" spans="1:24" x14ac:dyDescent="0.3">
      <c r="A205" t="s">
        <v>253</v>
      </c>
      <c r="B205" s="2">
        <v>45402</v>
      </c>
      <c r="C205" t="s">
        <v>54</v>
      </c>
      <c r="D205" t="s">
        <v>41</v>
      </c>
      <c r="E205" s="3">
        <v>50</v>
      </c>
      <c r="F205" t="s">
        <v>57</v>
      </c>
      <c r="G205" t="s">
        <v>26</v>
      </c>
      <c r="H205" t="s">
        <v>63</v>
      </c>
      <c r="I205" s="4">
        <v>26.6</v>
      </c>
      <c r="J205" s="5">
        <v>138000</v>
      </c>
      <c r="K205" s="5">
        <v>9100</v>
      </c>
      <c r="L205" s="4">
        <v>3.8</v>
      </c>
      <c r="M205" s="3">
        <v>9</v>
      </c>
      <c r="N205" s="3">
        <v>13</v>
      </c>
      <c r="O205" s="3">
        <v>13</v>
      </c>
      <c r="P205" s="4">
        <v>3.9</v>
      </c>
      <c r="Q205" t="s">
        <v>28</v>
      </c>
      <c r="R205" t="s">
        <v>28</v>
      </c>
      <c r="S205" t="s">
        <v>30</v>
      </c>
      <c r="T205" s="2">
        <v>46086</v>
      </c>
      <c r="U205" s="4">
        <v>2.1</v>
      </c>
      <c r="V205" s="4">
        <v>3</v>
      </c>
      <c r="W205" t="str">
        <f t="shared" si="6"/>
        <v>April</v>
      </c>
      <c r="X205">
        <f t="shared" si="7"/>
        <v>1204</v>
      </c>
    </row>
    <row r="206" spans="1:24" x14ac:dyDescent="0.3">
      <c r="A206" t="s">
        <v>254</v>
      </c>
      <c r="B206" s="2">
        <v>45583</v>
      </c>
      <c r="C206" t="s">
        <v>40</v>
      </c>
      <c r="D206" t="s">
        <v>24</v>
      </c>
      <c r="E206" s="3">
        <v>54</v>
      </c>
      <c r="F206" t="s">
        <v>25</v>
      </c>
      <c r="G206" t="s">
        <v>51</v>
      </c>
      <c r="H206" t="s">
        <v>46</v>
      </c>
      <c r="I206" s="4">
        <v>28.2</v>
      </c>
      <c r="J206" s="5">
        <v>123400</v>
      </c>
      <c r="K206" s="5">
        <v>6300</v>
      </c>
      <c r="L206" s="4">
        <v>1.8</v>
      </c>
      <c r="M206" s="3">
        <v>12</v>
      </c>
      <c r="N206" s="3">
        <v>8</v>
      </c>
      <c r="O206" s="3">
        <v>29</v>
      </c>
      <c r="P206" s="4">
        <v>2.7</v>
      </c>
      <c r="Q206" t="s">
        <v>29</v>
      </c>
      <c r="R206" t="s">
        <v>28</v>
      </c>
      <c r="S206" t="s">
        <v>43</v>
      </c>
      <c r="T206" s="2">
        <v>46127</v>
      </c>
      <c r="U206" s="4">
        <v>3.2</v>
      </c>
      <c r="V206" s="4">
        <v>3.1</v>
      </c>
      <c r="W206" t="str">
        <f t="shared" si="6"/>
        <v>October</v>
      </c>
      <c r="X206">
        <f t="shared" si="7"/>
        <v>1205</v>
      </c>
    </row>
    <row r="207" spans="1:24" x14ac:dyDescent="0.3">
      <c r="A207" t="s">
        <v>255</v>
      </c>
      <c r="B207" s="2">
        <v>45253</v>
      </c>
      <c r="C207" t="s">
        <v>36</v>
      </c>
      <c r="D207" t="s">
        <v>41</v>
      </c>
      <c r="E207" s="3">
        <v>54</v>
      </c>
      <c r="F207" t="s">
        <v>50</v>
      </c>
      <c r="G207" t="s">
        <v>51</v>
      </c>
      <c r="H207" t="s">
        <v>52</v>
      </c>
      <c r="I207" s="4">
        <v>30.8</v>
      </c>
      <c r="J207" s="5">
        <v>131300</v>
      </c>
      <c r="K207" s="5">
        <v>11500</v>
      </c>
      <c r="L207" s="4">
        <v>3.9</v>
      </c>
      <c r="M207" s="3">
        <v>10</v>
      </c>
      <c r="N207" s="3">
        <v>10</v>
      </c>
      <c r="O207" s="3">
        <v>8</v>
      </c>
      <c r="P207" s="4">
        <v>4.4000000000000004</v>
      </c>
      <c r="Q207" t="s">
        <v>28</v>
      </c>
      <c r="R207" t="s">
        <v>28</v>
      </c>
      <c r="S207" t="s">
        <v>60</v>
      </c>
      <c r="T207" s="2">
        <v>45746</v>
      </c>
      <c r="U207" s="4">
        <v>3.3</v>
      </c>
      <c r="V207" s="4">
        <v>4.0999999999999996</v>
      </c>
      <c r="W207" t="str">
        <f t="shared" si="6"/>
        <v>November</v>
      </c>
      <c r="X207">
        <f t="shared" si="7"/>
        <v>1206</v>
      </c>
    </row>
    <row r="208" spans="1:24" x14ac:dyDescent="0.3">
      <c r="A208" t="s">
        <v>256</v>
      </c>
      <c r="B208" s="2">
        <v>45164</v>
      </c>
      <c r="C208" t="s">
        <v>48</v>
      </c>
      <c r="D208" t="s">
        <v>41</v>
      </c>
      <c r="E208" s="3">
        <v>59</v>
      </c>
      <c r="F208" t="s">
        <v>57</v>
      </c>
      <c r="G208" t="s">
        <v>51</v>
      </c>
      <c r="H208" t="s">
        <v>37</v>
      </c>
      <c r="I208" s="4">
        <v>35</v>
      </c>
      <c r="J208" s="5">
        <v>160600</v>
      </c>
      <c r="K208" s="5">
        <v>8300</v>
      </c>
      <c r="L208" s="4">
        <v>4.4000000000000004</v>
      </c>
      <c r="M208" s="3">
        <v>40</v>
      </c>
      <c r="N208" s="3">
        <v>12</v>
      </c>
      <c r="O208" s="3">
        <v>3</v>
      </c>
      <c r="P208" s="4">
        <v>4.7</v>
      </c>
      <c r="Q208" t="s">
        <v>28</v>
      </c>
      <c r="R208" t="s">
        <v>29</v>
      </c>
      <c r="S208" t="s">
        <v>60</v>
      </c>
      <c r="T208" s="2">
        <v>46155</v>
      </c>
      <c r="U208" s="4">
        <v>3.4</v>
      </c>
      <c r="V208" s="4">
        <v>3.8</v>
      </c>
      <c r="W208" t="str">
        <f t="shared" si="6"/>
        <v>August</v>
      </c>
      <c r="X208">
        <f t="shared" si="7"/>
        <v>1207</v>
      </c>
    </row>
    <row r="209" spans="1:24" x14ac:dyDescent="0.3">
      <c r="A209" t="s">
        <v>257</v>
      </c>
      <c r="B209" s="2">
        <v>45796</v>
      </c>
      <c r="C209" t="s">
        <v>36</v>
      </c>
      <c r="D209" t="s">
        <v>24</v>
      </c>
      <c r="E209" s="3">
        <v>57</v>
      </c>
      <c r="F209" t="s">
        <v>25</v>
      </c>
      <c r="G209" t="s">
        <v>51</v>
      </c>
      <c r="H209" t="s">
        <v>27</v>
      </c>
      <c r="I209" s="4">
        <v>33.299999999999997</v>
      </c>
      <c r="J209" s="5">
        <v>142100</v>
      </c>
      <c r="K209" s="5">
        <v>13500</v>
      </c>
      <c r="L209" s="4">
        <v>4.7</v>
      </c>
      <c r="M209" s="3">
        <v>33</v>
      </c>
      <c r="N209" s="3">
        <v>8</v>
      </c>
      <c r="O209" s="3">
        <v>9</v>
      </c>
      <c r="P209" s="4">
        <v>3.2</v>
      </c>
      <c r="Q209" t="s">
        <v>28</v>
      </c>
      <c r="R209" t="s">
        <v>29</v>
      </c>
      <c r="S209" t="s">
        <v>43</v>
      </c>
      <c r="T209" s="2">
        <v>46203</v>
      </c>
      <c r="U209" s="4">
        <v>2.4</v>
      </c>
      <c r="V209" s="4">
        <v>2.6</v>
      </c>
      <c r="W209" t="str">
        <f t="shared" si="6"/>
        <v>May</v>
      </c>
      <c r="X209">
        <f t="shared" si="7"/>
        <v>1208</v>
      </c>
    </row>
    <row r="210" spans="1:24" x14ac:dyDescent="0.3">
      <c r="A210" t="s">
        <v>258</v>
      </c>
      <c r="B210" s="2">
        <v>45781</v>
      </c>
      <c r="C210" t="s">
        <v>48</v>
      </c>
      <c r="D210" t="s">
        <v>41</v>
      </c>
      <c r="E210" s="3">
        <v>60</v>
      </c>
      <c r="F210" t="s">
        <v>25</v>
      </c>
      <c r="G210" t="s">
        <v>26</v>
      </c>
      <c r="H210" t="s">
        <v>27</v>
      </c>
      <c r="I210" s="4">
        <v>32.700000000000003</v>
      </c>
      <c r="J210" s="5">
        <v>141000</v>
      </c>
      <c r="K210" s="5">
        <v>12200</v>
      </c>
      <c r="L210" s="4">
        <v>2.4</v>
      </c>
      <c r="M210" s="3">
        <v>7</v>
      </c>
      <c r="N210" s="3">
        <v>11</v>
      </c>
      <c r="O210" s="3">
        <v>25</v>
      </c>
      <c r="P210" s="4">
        <v>3.7</v>
      </c>
      <c r="Q210" t="s">
        <v>28</v>
      </c>
      <c r="R210" t="s">
        <v>28</v>
      </c>
      <c r="S210" t="s">
        <v>43</v>
      </c>
      <c r="T210" s="2">
        <v>46203</v>
      </c>
      <c r="U210" s="4">
        <v>3.3</v>
      </c>
      <c r="V210" s="4">
        <v>3.5</v>
      </c>
      <c r="W210" t="str">
        <f t="shared" si="6"/>
        <v>May</v>
      </c>
      <c r="X210">
        <f t="shared" si="7"/>
        <v>1209</v>
      </c>
    </row>
    <row r="211" spans="1:24" x14ac:dyDescent="0.3">
      <c r="A211" t="s">
        <v>259</v>
      </c>
      <c r="B211" s="2">
        <v>45925</v>
      </c>
      <c r="C211" t="s">
        <v>36</v>
      </c>
      <c r="D211" t="s">
        <v>41</v>
      </c>
      <c r="E211" s="3">
        <v>31</v>
      </c>
      <c r="F211" t="s">
        <v>25</v>
      </c>
      <c r="G211" t="s">
        <v>51</v>
      </c>
      <c r="H211" t="s">
        <v>55</v>
      </c>
      <c r="I211" s="4">
        <v>11.2</v>
      </c>
      <c r="J211" s="5">
        <v>62000</v>
      </c>
      <c r="K211" s="5">
        <v>5500</v>
      </c>
      <c r="L211" s="4">
        <v>3.4</v>
      </c>
      <c r="M211" s="3">
        <v>8</v>
      </c>
      <c r="N211" s="3">
        <v>13</v>
      </c>
      <c r="O211" s="3">
        <v>8</v>
      </c>
      <c r="P211" s="4">
        <v>3.3</v>
      </c>
      <c r="Q211" t="s">
        <v>28</v>
      </c>
      <c r="R211" t="s">
        <v>28</v>
      </c>
      <c r="S211" t="s">
        <v>60</v>
      </c>
      <c r="T211" s="2">
        <v>46203</v>
      </c>
      <c r="U211" s="4">
        <v>3.8</v>
      </c>
      <c r="V211" s="4">
        <v>4.4000000000000004</v>
      </c>
      <c r="W211" t="str">
        <f t="shared" si="6"/>
        <v>September</v>
      </c>
      <c r="X211">
        <f t="shared" si="7"/>
        <v>1210</v>
      </c>
    </row>
    <row r="212" spans="1:24" x14ac:dyDescent="0.3">
      <c r="A212" t="s">
        <v>260</v>
      </c>
      <c r="B212" s="2">
        <v>45412</v>
      </c>
      <c r="C212" t="s">
        <v>54</v>
      </c>
      <c r="D212" t="s">
        <v>41</v>
      </c>
      <c r="E212" s="3">
        <v>25</v>
      </c>
      <c r="F212" t="s">
        <v>25</v>
      </c>
      <c r="G212" t="s">
        <v>33</v>
      </c>
      <c r="H212" t="s">
        <v>27</v>
      </c>
      <c r="I212" s="4">
        <v>3.2</v>
      </c>
      <c r="J212" s="5">
        <v>61400</v>
      </c>
      <c r="K212" s="5">
        <v>1400</v>
      </c>
      <c r="L212" s="4">
        <v>4.0999999999999996</v>
      </c>
      <c r="M212" s="3">
        <v>31</v>
      </c>
      <c r="N212" s="3">
        <v>15</v>
      </c>
      <c r="O212" s="3">
        <v>29</v>
      </c>
      <c r="P212" s="4">
        <v>4.3</v>
      </c>
      <c r="Q212" t="s">
        <v>29</v>
      </c>
      <c r="R212" t="s">
        <v>29</v>
      </c>
      <c r="S212" t="s">
        <v>34</v>
      </c>
      <c r="T212" s="2">
        <v>45739</v>
      </c>
      <c r="U212" s="4">
        <v>1.9</v>
      </c>
      <c r="V212" s="4">
        <v>1.8</v>
      </c>
      <c r="W212" t="str">
        <f t="shared" si="6"/>
        <v>April</v>
      </c>
      <c r="X212">
        <f t="shared" si="7"/>
        <v>1211</v>
      </c>
    </row>
    <row r="213" spans="1:24" x14ac:dyDescent="0.3">
      <c r="A213" t="s">
        <v>261</v>
      </c>
      <c r="B213" s="2">
        <v>44287</v>
      </c>
      <c r="C213" t="s">
        <v>36</v>
      </c>
      <c r="D213" t="s">
        <v>41</v>
      </c>
      <c r="E213" s="3">
        <v>48</v>
      </c>
      <c r="F213" t="s">
        <v>57</v>
      </c>
      <c r="G213" t="s">
        <v>51</v>
      </c>
      <c r="H213" t="s">
        <v>37</v>
      </c>
      <c r="I213" s="4">
        <v>23.7</v>
      </c>
      <c r="J213" s="5">
        <v>114000</v>
      </c>
      <c r="K213" s="5">
        <v>2300</v>
      </c>
      <c r="L213" s="4">
        <v>2.5</v>
      </c>
      <c r="M213" s="3">
        <v>18</v>
      </c>
      <c r="N213" s="3">
        <v>8</v>
      </c>
      <c r="O213" s="3">
        <v>27</v>
      </c>
      <c r="P213" s="4">
        <v>3.4</v>
      </c>
      <c r="Q213" t="s">
        <v>28</v>
      </c>
      <c r="R213" t="s">
        <v>28</v>
      </c>
      <c r="S213" t="s">
        <v>38</v>
      </c>
      <c r="T213" s="2">
        <v>44945</v>
      </c>
      <c r="U213" s="4">
        <v>3.1</v>
      </c>
      <c r="V213" s="4">
        <v>3.2</v>
      </c>
      <c r="W213" t="str">
        <f t="shared" si="6"/>
        <v>April</v>
      </c>
      <c r="X213">
        <f t="shared" si="7"/>
        <v>1212</v>
      </c>
    </row>
    <row r="214" spans="1:24" x14ac:dyDescent="0.3">
      <c r="A214" t="s">
        <v>262</v>
      </c>
      <c r="B214" s="2">
        <v>45611</v>
      </c>
      <c r="C214" t="s">
        <v>40</v>
      </c>
      <c r="D214" t="s">
        <v>24</v>
      </c>
      <c r="E214" s="3">
        <v>38</v>
      </c>
      <c r="F214" t="s">
        <v>25</v>
      </c>
      <c r="G214" t="s">
        <v>33</v>
      </c>
      <c r="H214" t="s">
        <v>27</v>
      </c>
      <c r="I214" s="4">
        <v>12.7</v>
      </c>
      <c r="J214" s="5">
        <v>96000</v>
      </c>
      <c r="K214" s="5">
        <v>11200</v>
      </c>
      <c r="L214" s="4">
        <v>3.8</v>
      </c>
      <c r="M214" s="3">
        <v>36</v>
      </c>
      <c r="N214" s="3">
        <v>5</v>
      </c>
      <c r="O214" s="3">
        <v>2</v>
      </c>
      <c r="P214" s="4">
        <v>2.4</v>
      </c>
      <c r="Q214" t="s">
        <v>28</v>
      </c>
      <c r="R214" t="s">
        <v>28</v>
      </c>
      <c r="S214" t="s">
        <v>30</v>
      </c>
      <c r="T214" s="2">
        <v>46203</v>
      </c>
      <c r="U214" s="4">
        <v>4</v>
      </c>
      <c r="V214" s="4">
        <v>3.8</v>
      </c>
      <c r="W214" t="str">
        <f t="shared" si="6"/>
        <v>November</v>
      </c>
      <c r="X214">
        <f t="shared" si="7"/>
        <v>1213</v>
      </c>
    </row>
    <row r="215" spans="1:24" x14ac:dyDescent="0.3">
      <c r="A215" t="s">
        <v>263</v>
      </c>
      <c r="B215" s="2">
        <v>45989</v>
      </c>
      <c r="C215" t="s">
        <v>23</v>
      </c>
      <c r="D215" t="s">
        <v>24</v>
      </c>
      <c r="E215" s="3">
        <v>41</v>
      </c>
      <c r="F215" t="s">
        <v>57</v>
      </c>
      <c r="G215" t="s">
        <v>26</v>
      </c>
      <c r="H215" t="s">
        <v>37</v>
      </c>
      <c r="I215" s="4">
        <v>13.7</v>
      </c>
      <c r="J215" s="5">
        <v>84200</v>
      </c>
      <c r="K215" s="5">
        <v>4600</v>
      </c>
      <c r="L215" s="4">
        <v>3.5</v>
      </c>
      <c r="M215" s="3">
        <v>35</v>
      </c>
      <c r="N215" s="3">
        <v>16</v>
      </c>
      <c r="O215" s="3">
        <v>22</v>
      </c>
      <c r="P215" s="4">
        <v>2.7</v>
      </c>
      <c r="Q215" t="s">
        <v>28</v>
      </c>
      <c r="R215" t="s">
        <v>28</v>
      </c>
      <c r="S215" t="s">
        <v>30</v>
      </c>
      <c r="T215" s="2">
        <v>46203</v>
      </c>
      <c r="U215" s="4">
        <v>3.5</v>
      </c>
      <c r="V215" s="4">
        <v>3.6</v>
      </c>
      <c r="W215" t="str">
        <f t="shared" si="6"/>
        <v>November</v>
      </c>
      <c r="X215">
        <f t="shared" si="7"/>
        <v>1214</v>
      </c>
    </row>
    <row r="216" spans="1:24" x14ac:dyDescent="0.3">
      <c r="A216" t="s">
        <v>264</v>
      </c>
      <c r="B216" s="2">
        <v>45213</v>
      </c>
      <c r="C216" t="s">
        <v>54</v>
      </c>
      <c r="D216" t="s">
        <v>41</v>
      </c>
      <c r="E216" s="3">
        <v>46</v>
      </c>
      <c r="F216" t="s">
        <v>25</v>
      </c>
      <c r="G216" t="s">
        <v>26</v>
      </c>
      <c r="H216" t="s">
        <v>37</v>
      </c>
      <c r="I216" s="4">
        <v>25.5</v>
      </c>
      <c r="J216" s="5">
        <v>128400</v>
      </c>
      <c r="K216" s="5">
        <v>8500</v>
      </c>
      <c r="L216" s="4">
        <v>4.5999999999999996</v>
      </c>
      <c r="M216" s="3">
        <v>21</v>
      </c>
      <c r="N216" s="3">
        <v>15</v>
      </c>
      <c r="O216" s="3">
        <v>24</v>
      </c>
      <c r="P216" s="4">
        <v>3.1</v>
      </c>
      <c r="Q216" t="s">
        <v>28</v>
      </c>
      <c r="R216" t="s">
        <v>29</v>
      </c>
      <c r="S216" t="s">
        <v>60</v>
      </c>
      <c r="T216" s="2">
        <v>45993</v>
      </c>
      <c r="U216" s="4">
        <v>3.9</v>
      </c>
      <c r="V216" s="4">
        <v>4.2</v>
      </c>
      <c r="W216" t="str">
        <f t="shared" si="6"/>
        <v>October</v>
      </c>
      <c r="X216">
        <f t="shared" si="7"/>
        <v>1215</v>
      </c>
    </row>
    <row r="217" spans="1:24" x14ac:dyDescent="0.3">
      <c r="A217" t="s">
        <v>265</v>
      </c>
      <c r="B217" s="2">
        <v>44253</v>
      </c>
      <c r="C217" t="s">
        <v>54</v>
      </c>
      <c r="D217" t="s">
        <v>41</v>
      </c>
      <c r="E217" s="3">
        <v>47</v>
      </c>
      <c r="F217" t="s">
        <v>25</v>
      </c>
      <c r="G217" t="s">
        <v>33</v>
      </c>
      <c r="H217" t="s">
        <v>63</v>
      </c>
      <c r="I217" s="4">
        <v>23.3</v>
      </c>
      <c r="J217" s="5">
        <v>125600</v>
      </c>
      <c r="K217" s="5">
        <v>3300</v>
      </c>
      <c r="L217" s="4">
        <v>2.6</v>
      </c>
      <c r="M217" s="3">
        <v>37</v>
      </c>
      <c r="N217" s="3">
        <v>10</v>
      </c>
      <c r="O217" s="3">
        <v>27</v>
      </c>
      <c r="P217" s="4">
        <v>3.5</v>
      </c>
      <c r="Q217" t="s">
        <v>28</v>
      </c>
      <c r="R217" t="s">
        <v>28</v>
      </c>
      <c r="S217" t="s">
        <v>38</v>
      </c>
      <c r="T217" s="2">
        <v>45156</v>
      </c>
      <c r="U217" s="4">
        <v>3.1</v>
      </c>
      <c r="V217" s="4">
        <v>3.9</v>
      </c>
      <c r="W217" t="str">
        <f t="shared" si="6"/>
        <v>February</v>
      </c>
      <c r="X217">
        <f t="shared" si="7"/>
        <v>1216</v>
      </c>
    </row>
    <row r="218" spans="1:24" x14ac:dyDescent="0.3">
      <c r="A218" t="s">
        <v>266</v>
      </c>
      <c r="B218" s="2">
        <v>44529</v>
      </c>
      <c r="C218" t="s">
        <v>36</v>
      </c>
      <c r="D218" t="s">
        <v>41</v>
      </c>
      <c r="E218" s="3">
        <v>22</v>
      </c>
      <c r="F218" t="s">
        <v>25</v>
      </c>
      <c r="G218" t="s">
        <v>26</v>
      </c>
      <c r="H218" t="s">
        <v>55</v>
      </c>
      <c r="I218" s="4">
        <v>0</v>
      </c>
      <c r="J218" s="5">
        <v>38400</v>
      </c>
      <c r="K218" s="5">
        <v>900</v>
      </c>
      <c r="L218" s="4">
        <v>3.6</v>
      </c>
      <c r="M218" s="3">
        <v>5</v>
      </c>
      <c r="N218" s="3">
        <v>10</v>
      </c>
      <c r="O218" s="3">
        <v>24</v>
      </c>
      <c r="P218" s="4">
        <v>5</v>
      </c>
      <c r="Q218" t="s">
        <v>29</v>
      </c>
      <c r="R218" t="s">
        <v>28</v>
      </c>
      <c r="S218" t="s">
        <v>43</v>
      </c>
      <c r="T218" s="2">
        <v>45412</v>
      </c>
      <c r="U218" s="4">
        <v>3.2</v>
      </c>
      <c r="V218" s="4">
        <v>3.2</v>
      </c>
      <c r="W218" t="str">
        <f t="shared" si="6"/>
        <v>November</v>
      </c>
      <c r="X218">
        <f t="shared" si="7"/>
        <v>1217</v>
      </c>
    </row>
    <row r="219" spans="1:24" x14ac:dyDescent="0.3">
      <c r="A219" t="s">
        <v>267</v>
      </c>
      <c r="B219" s="2">
        <v>44296</v>
      </c>
      <c r="C219" t="s">
        <v>32</v>
      </c>
      <c r="D219" t="s">
        <v>24</v>
      </c>
      <c r="E219" s="3">
        <v>57</v>
      </c>
      <c r="F219" t="s">
        <v>57</v>
      </c>
      <c r="G219" t="s">
        <v>42</v>
      </c>
      <c r="H219" t="s">
        <v>63</v>
      </c>
      <c r="I219" s="4">
        <v>32.700000000000003</v>
      </c>
      <c r="J219" s="5">
        <v>173900</v>
      </c>
      <c r="K219" s="5">
        <v>20800</v>
      </c>
      <c r="L219" s="4">
        <v>4.0999999999999996</v>
      </c>
      <c r="M219" s="3">
        <v>38</v>
      </c>
      <c r="N219" s="3">
        <v>16</v>
      </c>
      <c r="O219" s="3">
        <v>9</v>
      </c>
      <c r="P219" s="4">
        <v>4.0999999999999996</v>
      </c>
      <c r="Q219" t="s">
        <v>28</v>
      </c>
      <c r="R219" t="s">
        <v>29</v>
      </c>
      <c r="S219" t="s">
        <v>38</v>
      </c>
      <c r="T219" s="2">
        <v>45678</v>
      </c>
      <c r="U219" s="4">
        <v>2.2999999999999998</v>
      </c>
      <c r="V219" s="4">
        <v>2.7</v>
      </c>
      <c r="W219" t="str">
        <f t="shared" si="6"/>
        <v>April</v>
      </c>
      <c r="X219">
        <f t="shared" si="7"/>
        <v>1218</v>
      </c>
    </row>
    <row r="220" spans="1:24" x14ac:dyDescent="0.3">
      <c r="A220" t="s">
        <v>268</v>
      </c>
      <c r="B220" s="2">
        <v>44633</v>
      </c>
      <c r="C220" t="s">
        <v>23</v>
      </c>
      <c r="D220" t="s">
        <v>41</v>
      </c>
      <c r="E220" s="3">
        <v>45</v>
      </c>
      <c r="F220" t="s">
        <v>25</v>
      </c>
      <c r="G220" t="s">
        <v>51</v>
      </c>
      <c r="H220" t="s">
        <v>52</v>
      </c>
      <c r="I220" s="4">
        <v>26.4</v>
      </c>
      <c r="J220" s="5">
        <v>105400</v>
      </c>
      <c r="K220" s="5">
        <v>11200</v>
      </c>
      <c r="L220" s="4">
        <v>3.2</v>
      </c>
      <c r="M220" s="3">
        <v>37</v>
      </c>
      <c r="N220" s="3">
        <v>13</v>
      </c>
      <c r="O220" s="3">
        <v>7</v>
      </c>
      <c r="P220" s="4">
        <v>4.3</v>
      </c>
      <c r="Q220" t="s">
        <v>28</v>
      </c>
      <c r="R220" t="s">
        <v>28</v>
      </c>
      <c r="S220" t="s">
        <v>38</v>
      </c>
      <c r="T220" s="2">
        <v>45943</v>
      </c>
      <c r="U220" s="4">
        <v>4.0999999999999996</v>
      </c>
      <c r="V220" s="4">
        <v>4.3</v>
      </c>
      <c r="W220" t="str">
        <f t="shared" si="6"/>
        <v>March</v>
      </c>
      <c r="X220">
        <f t="shared" si="7"/>
        <v>1219</v>
      </c>
    </row>
    <row r="221" spans="1:24" x14ac:dyDescent="0.3">
      <c r="A221" t="s">
        <v>269</v>
      </c>
      <c r="B221" s="2">
        <v>45712</v>
      </c>
      <c r="C221" t="s">
        <v>48</v>
      </c>
      <c r="D221" t="s">
        <v>41</v>
      </c>
      <c r="E221" s="3">
        <v>35</v>
      </c>
      <c r="F221" t="s">
        <v>25</v>
      </c>
      <c r="G221" t="s">
        <v>26</v>
      </c>
      <c r="H221" t="s">
        <v>55</v>
      </c>
      <c r="I221" s="4">
        <v>12</v>
      </c>
      <c r="J221" s="5">
        <v>78600</v>
      </c>
      <c r="K221" s="5">
        <v>5900</v>
      </c>
      <c r="L221" s="4">
        <v>4</v>
      </c>
      <c r="M221" s="3">
        <v>36</v>
      </c>
      <c r="N221" s="3">
        <v>18</v>
      </c>
      <c r="O221" s="3">
        <v>1</v>
      </c>
      <c r="P221" s="4">
        <v>3.7</v>
      </c>
      <c r="Q221" t="s">
        <v>28</v>
      </c>
      <c r="R221" t="s">
        <v>29</v>
      </c>
      <c r="S221" t="s">
        <v>43</v>
      </c>
      <c r="T221" s="2">
        <v>45968</v>
      </c>
      <c r="U221" s="4">
        <v>3.8</v>
      </c>
      <c r="V221" s="4">
        <v>4.3</v>
      </c>
      <c r="W221" t="str">
        <f t="shared" si="6"/>
        <v>February</v>
      </c>
      <c r="X221">
        <f t="shared" si="7"/>
        <v>1220</v>
      </c>
    </row>
    <row r="222" spans="1:24" x14ac:dyDescent="0.3">
      <c r="A222" t="s">
        <v>270</v>
      </c>
      <c r="B222" s="2">
        <v>45548</v>
      </c>
      <c r="C222" t="s">
        <v>48</v>
      </c>
      <c r="D222" t="s">
        <v>24</v>
      </c>
      <c r="E222" s="3">
        <v>22</v>
      </c>
      <c r="F222" t="s">
        <v>25</v>
      </c>
      <c r="G222" t="s">
        <v>26</v>
      </c>
      <c r="H222" t="s">
        <v>55</v>
      </c>
      <c r="I222" s="4">
        <v>0</v>
      </c>
      <c r="J222" s="5">
        <v>27800</v>
      </c>
      <c r="K222" s="5">
        <v>2500</v>
      </c>
      <c r="L222" s="4">
        <v>3.1</v>
      </c>
      <c r="M222" s="3">
        <v>39</v>
      </c>
      <c r="N222" s="3">
        <v>2</v>
      </c>
      <c r="O222" s="3">
        <v>17</v>
      </c>
      <c r="P222" s="4">
        <v>3.1</v>
      </c>
      <c r="Q222" t="s">
        <v>29</v>
      </c>
      <c r="R222" t="s">
        <v>28</v>
      </c>
      <c r="S222" t="s">
        <v>34</v>
      </c>
      <c r="T222" s="2">
        <v>46203</v>
      </c>
      <c r="U222" s="4">
        <v>3.6</v>
      </c>
      <c r="V222" s="4">
        <v>3.9</v>
      </c>
      <c r="W222" t="str">
        <f t="shared" si="6"/>
        <v>September</v>
      </c>
      <c r="X222">
        <f t="shared" si="7"/>
        <v>1221</v>
      </c>
    </row>
    <row r="223" spans="1:24" x14ac:dyDescent="0.3">
      <c r="A223" t="s">
        <v>271</v>
      </c>
      <c r="B223" s="2">
        <v>45561</v>
      </c>
      <c r="C223" t="s">
        <v>40</v>
      </c>
      <c r="D223" t="s">
        <v>41</v>
      </c>
      <c r="E223" s="3">
        <v>24</v>
      </c>
      <c r="F223" t="s">
        <v>25</v>
      </c>
      <c r="G223" t="s">
        <v>26</v>
      </c>
      <c r="H223" t="s">
        <v>55</v>
      </c>
      <c r="I223" s="4">
        <v>1.7</v>
      </c>
      <c r="J223" s="5">
        <v>52400</v>
      </c>
      <c r="K223" s="5">
        <v>3400</v>
      </c>
      <c r="L223" s="4">
        <v>2.7</v>
      </c>
      <c r="M223" s="3">
        <v>30</v>
      </c>
      <c r="N223" s="3">
        <v>14</v>
      </c>
      <c r="O223" s="3">
        <v>26</v>
      </c>
      <c r="P223" s="4">
        <v>4.9000000000000004</v>
      </c>
      <c r="Q223" t="s">
        <v>28</v>
      </c>
      <c r="R223" t="s">
        <v>28</v>
      </c>
      <c r="S223" t="s">
        <v>60</v>
      </c>
      <c r="T223" s="2">
        <v>46179</v>
      </c>
      <c r="U223" s="4">
        <v>2.6</v>
      </c>
      <c r="V223" s="4">
        <v>3</v>
      </c>
      <c r="W223" t="str">
        <f t="shared" si="6"/>
        <v>September</v>
      </c>
      <c r="X223">
        <f t="shared" si="7"/>
        <v>1222</v>
      </c>
    </row>
    <row r="224" spans="1:24" x14ac:dyDescent="0.3">
      <c r="A224" t="s">
        <v>272</v>
      </c>
      <c r="B224" s="2">
        <v>44939</v>
      </c>
      <c r="C224" t="s">
        <v>40</v>
      </c>
      <c r="D224" t="s">
        <v>24</v>
      </c>
      <c r="E224" s="3">
        <v>34</v>
      </c>
      <c r="F224" t="s">
        <v>25</v>
      </c>
      <c r="G224" t="s">
        <v>33</v>
      </c>
      <c r="H224" t="s">
        <v>63</v>
      </c>
      <c r="I224" s="4">
        <v>6.9</v>
      </c>
      <c r="J224" s="5">
        <v>72500</v>
      </c>
      <c r="K224" s="5">
        <v>6500</v>
      </c>
      <c r="L224" s="4">
        <v>4.5</v>
      </c>
      <c r="M224" s="3">
        <v>35</v>
      </c>
      <c r="N224" s="3">
        <v>12</v>
      </c>
      <c r="O224" s="3">
        <v>14</v>
      </c>
      <c r="P224" s="4">
        <v>3.2</v>
      </c>
      <c r="Q224" t="s">
        <v>28</v>
      </c>
      <c r="R224" t="s">
        <v>29</v>
      </c>
      <c r="S224" t="s">
        <v>34</v>
      </c>
      <c r="T224" s="2">
        <v>46023</v>
      </c>
      <c r="U224" s="4">
        <v>4.4000000000000004</v>
      </c>
      <c r="V224" s="4">
        <v>4.7</v>
      </c>
      <c r="W224" t="str">
        <f t="shared" si="6"/>
        <v>January</v>
      </c>
      <c r="X224">
        <f t="shared" si="7"/>
        <v>1223</v>
      </c>
    </row>
    <row r="225" spans="1:24" x14ac:dyDescent="0.3">
      <c r="A225" t="s">
        <v>273</v>
      </c>
      <c r="B225" s="2">
        <v>44922</v>
      </c>
      <c r="C225" t="s">
        <v>23</v>
      </c>
      <c r="D225" t="s">
        <v>41</v>
      </c>
      <c r="E225" s="3">
        <v>44</v>
      </c>
      <c r="F225" t="s">
        <v>50</v>
      </c>
      <c r="G225" t="s">
        <v>51</v>
      </c>
      <c r="H225" t="s">
        <v>63</v>
      </c>
      <c r="I225" s="4">
        <v>23.8</v>
      </c>
      <c r="J225" s="5">
        <v>124700</v>
      </c>
      <c r="K225" s="5">
        <v>7900</v>
      </c>
      <c r="L225" s="4">
        <v>3.8</v>
      </c>
      <c r="M225" s="3">
        <v>22</v>
      </c>
      <c r="N225" s="3">
        <v>11</v>
      </c>
      <c r="O225" s="3">
        <v>13</v>
      </c>
      <c r="P225" s="4">
        <v>3</v>
      </c>
      <c r="Q225" t="s">
        <v>28</v>
      </c>
      <c r="R225" t="s">
        <v>28</v>
      </c>
      <c r="S225" t="s">
        <v>38</v>
      </c>
      <c r="T225" s="2">
        <v>46203</v>
      </c>
      <c r="U225" s="4">
        <v>3.9</v>
      </c>
      <c r="V225" s="4">
        <v>4.5999999999999996</v>
      </c>
      <c r="W225" t="str">
        <f t="shared" si="6"/>
        <v>December</v>
      </c>
      <c r="X225">
        <f t="shared" si="7"/>
        <v>1224</v>
      </c>
    </row>
    <row r="226" spans="1:24" x14ac:dyDescent="0.3">
      <c r="A226" t="s">
        <v>274</v>
      </c>
      <c r="B226" s="2">
        <v>44742</v>
      </c>
      <c r="C226" t="s">
        <v>36</v>
      </c>
      <c r="D226" t="s">
        <v>41</v>
      </c>
      <c r="E226" s="3">
        <v>25</v>
      </c>
      <c r="F226" t="s">
        <v>25</v>
      </c>
      <c r="G226" t="s">
        <v>51</v>
      </c>
      <c r="H226" t="s">
        <v>52</v>
      </c>
      <c r="I226" s="4">
        <v>6</v>
      </c>
      <c r="J226" s="5">
        <v>49300</v>
      </c>
      <c r="K226" s="5">
        <v>2900</v>
      </c>
      <c r="L226" s="4">
        <v>2.6</v>
      </c>
      <c r="M226" s="3">
        <v>30</v>
      </c>
      <c r="N226" s="3">
        <v>10</v>
      </c>
      <c r="O226" s="3">
        <v>27</v>
      </c>
      <c r="P226" s="4">
        <v>3.5</v>
      </c>
      <c r="Q226" t="s">
        <v>29</v>
      </c>
      <c r="R226" t="s">
        <v>28</v>
      </c>
      <c r="S226" t="s">
        <v>30</v>
      </c>
      <c r="T226" s="2">
        <v>45097</v>
      </c>
      <c r="U226" s="4">
        <v>3.9</v>
      </c>
      <c r="V226" s="4">
        <v>4.5</v>
      </c>
      <c r="W226" t="str">
        <f t="shared" si="6"/>
        <v>June</v>
      </c>
      <c r="X226">
        <f t="shared" si="7"/>
        <v>1225</v>
      </c>
    </row>
    <row r="227" spans="1:24" x14ac:dyDescent="0.3">
      <c r="A227" t="s">
        <v>275</v>
      </c>
      <c r="B227" s="2">
        <v>45579</v>
      </c>
      <c r="C227" t="s">
        <v>36</v>
      </c>
      <c r="D227" t="s">
        <v>41</v>
      </c>
      <c r="E227" s="3">
        <v>32</v>
      </c>
      <c r="F227" t="s">
        <v>25</v>
      </c>
      <c r="G227" t="s">
        <v>26</v>
      </c>
      <c r="H227" t="s">
        <v>63</v>
      </c>
      <c r="I227" s="4">
        <v>6.6</v>
      </c>
      <c r="J227" s="5">
        <v>52200</v>
      </c>
      <c r="K227" s="5">
        <v>1700</v>
      </c>
      <c r="L227" s="4">
        <v>3</v>
      </c>
      <c r="M227" s="3">
        <v>11</v>
      </c>
      <c r="N227" s="3">
        <v>10</v>
      </c>
      <c r="O227" s="3">
        <v>26</v>
      </c>
      <c r="P227" s="4">
        <v>3.3</v>
      </c>
      <c r="Q227" t="s">
        <v>29</v>
      </c>
      <c r="R227" t="s">
        <v>28</v>
      </c>
      <c r="S227" t="s">
        <v>60</v>
      </c>
      <c r="T227" s="2">
        <v>46203</v>
      </c>
      <c r="U227" s="4">
        <v>4.5999999999999996</v>
      </c>
      <c r="V227" s="4">
        <v>5</v>
      </c>
      <c r="W227" t="str">
        <f t="shared" si="6"/>
        <v>October</v>
      </c>
      <c r="X227">
        <f t="shared" si="7"/>
        <v>1226</v>
      </c>
    </row>
    <row r="228" spans="1:24" x14ac:dyDescent="0.3">
      <c r="A228" t="s">
        <v>276</v>
      </c>
      <c r="B228" s="2">
        <v>45017</v>
      </c>
      <c r="C228" t="s">
        <v>23</v>
      </c>
      <c r="D228" t="s">
        <v>41</v>
      </c>
      <c r="E228" s="3">
        <v>22</v>
      </c>
      <c r="F228" t="s">
        <v>25</v>
      </c>
      <c r="G228" t="s">
        <v>33</v>
      </c>
      <c r="H228" t="s">
        <v>52</v>
      </c>
      <c r="I228" s="4">
        <v>6.1</v>
      </c>
      <c r="J228" s="5">
        <v>66200</v>
      </c>
      <c r="K228" s="5">
        <v>2500</v>
      </c>
      <c r="L228" s="4">
        <v>3.1</v>
      </c>
      <c r="M228" s="3">
        <v>35</v>
      </c>
      <c r="N228" s="3">
        <v>15</v>
      </c>
      <c r="O228" s="3">
        <v>21</v>
      </c>
      <c r="P228" s="4">
        <v>3.7</v>
      </c>
      <c r="Q228" t="s">
        <v>28</v>
      </c>
      <c r="R228" t="s">
        <v>28</v>
      </c>
      <c r="S228" t="s">
        <v>34</v>
      </c>
      <c r="T228" s="2">
        <v>45602</v>
      </c>
      <c r="U228" s="4">
        <v>4.7</v>
      </c>
      <c r="V228" s="4">
        <v>4.9000000000000004</v>
      </c>
      <c r="W228" t="str">
        <f t="shared" si="6"/>
        <v>April</v>
      </c>
      <c r="X228">
        <f t="shared" si="7"/>
        <v>1227</v>
      </c>
    </row>
    <row r="229" spans="1:24" x14ac:dyDescent="0.3">
      <c r="A229" t="s">
        <v>277</v>
      </c>
      <c r="B229" s="2">
        <v>45759</v>
      </c>
      <c r="C229" t="s">
        <v>54</v>
      </c>
      <c r="D229" t="s">
        <v>24</v>
      </c>
      <c r="E229" s="3">
        <v>59</v>
      </c>
      <c r="F229" t="s">
        <v>25</v>
      </c>
      <c r="G229" t="s">
        <v>26</v>
      </c>
      <c r="H229" t="s">
        <v>46</v>
      </c>
      <c r="I229" s="4">
        <v>32.799999999999997</v>
      </c>
      <c r="J229" s="5">
        <v>157200</v>
      </c>
      <c r="K229" s="5">
        <v>9900</v>
      </c>
      <c r="L229" s="4">
        <v>4.5</v>
      </c>
      <c r="M229" s="3">
        <v>26</v>
      </c>
      <c r="N229" s="3">
        <v>17</v>
      </c>
      <c r="O229" s="3">
        <v>20</v>
      </c>
      <c r="P229" s="4">
        <v>5</v>
      </c>
      <c r="Q229" t="s">
        <v>28</v>
      </c>
      <c r="R229" t="s">
        <v>29</v>
      </c>
      <c r="S229" t="s">
        <v>60</v>
      </c>
      <c r="T229" s="2">
        <v>46203</v>
      </c>
      <c r="U229" s="4">
        <v>2.9</v>
      </c>
      <c r="V229" s="4">
        <v>3.6</v>
      </c>
      <c r="W229" t="str">
        <f t="shared" si="6"/>
        <v>April</v>
      </c>
      <c r="X229">
        <f t="shared" si="7"/>
        <v>1228</v>
      </c>
    </row>
    <row r="230" spans="1:24" x14ac:dyDescent="0.3">
      <c r="A230" t="s">
        <v>278</v>
      </c>
      <c r="B230" s="2">
        <v>44697</v>
      </c>
      <c r="C230" t="s">
        <v>48</v>
      </c>
      <c r="D230" t="s">
        <v>41</v>
      </c>
      <c r="E230" s="3">
        <v>39</v>
      </c>
      <c r="F230" t="s">
        <v>25</v>
      </c>
      <c r="G230" t="s">
        <v>33</v>
      </c>
      <c r="H230" t="s">
        <v>52</v>
      </c>
      <c r="I230" s="4">
        <v>18.5</v>
      </c>
      <c r="J230" s="5">
        <v>113800</v>
      </c>
      <c r="K230" s="5">
        <v>5700</v>
      </c>
      <c r="L230" s="4">
        <v>4.5999999999999996</v>
      </c>
      <c r="M230" s="3">
        <v>39</v>
      </c>
      <c r="N230" s="3">
        <v>11</v>
      </c>
      <c r="O230" s="3">
        <v>24</v>
      </c>
      <c r="P230" s="4">
        <v>3</v>
      </c>
      <c r="Q230" t="s">
        <v>28</v>
      </c>
      <c r="R230" t="s">
        <v>29</v>
      </c>
      <c r="S230" t="s">
        <v>60</v>
      </c>
      <c r="T230" s="2">
        <v>45949</v>
      </c>
      <c r="U230" s="4">
        <v>3.1</v>
      </c>
      <c r="V230" s="4">
        <v>3.4</v>
      </c>
      <c r="W230" t="str">
        <f t="shared" si="6"/>
        <v>May</v>
      </c>
      <c r="X230">
        <f t="shared" si="7"/>
        <v>1229</v>
      </c>
    </row>
    <row r="231" spans="1:24" x14ac:dyDescent="0.3">
      <c r="A231" t="s">
        <v>279</v>
      </c>
      <c r="B231" s="2">
        <v>45143</v>
      </c>
      <c r="C231" t="s">
        <v>54</v>
      </c>
      <c r="D231" t="s">
        <v>24</v>
      </c>
      <c r="E231" s="3">
        <v>31</v>
      </c>
      <c r="F231" t="s">
        <v>25</v>
      </c>
      <c r="G231" t="s">
        <v>51</v>
      </c>
      <c r="H231" t="s">
        <v>27</v>
      </c>
      <c r="I231" s="4">
        <v>5.8</v>
      </c>
      <c r="J231" s="5">
        <v>52300</v>
      </c>
      <c r="K231" s="5">
        <v>4800</v>
      </c>
      <c r="L231" s="4">
        <v>4.5999999999999996</v>
      </c>
      <c r="M231" s="3">
        <v>36</v>
      </c>
      <c r="N231" s="3">
        <v>15</v>
      </c>
      <c r="O231" s="3">
        <v>0</v>
      </c>
      <c r="P231" s="4">
        <v>4.2</v>
      </c>
      <c r="Q231" t="s">
        <v>28</v>
      </c>
      <c r="R231" t="s">
        <v>29</v>
      </c>
      <c r="S231" t="s">
        <v>34</v>
      </c>
      <c r="T231" s="2">
        <v>46203</v>
      </c>
      <c r="U231" s="4">
        <v>3</v>
      </c>
      <c r="V231" s="4">
        <v>3.3</v>
      </c>
      <c r="W231" t="str">
        <f t="shared" si="6"/>
        <v>August</v>
      </c>
      <c r="X231">
        <f t="shared" si="7"/>
        <v>1230</v>
      </c>
    </row>
    <row r="232" spans="1:24" x14ac:dyDescent="0.3">
      <c r="A232" t="s">
        <v>280</v>
      </c>
      <c r="B232" s="2">
        <v>45233</v>
      </c>
      <c r="C232" t="s">
        <v>40</v>
      </c>
      <c r="D232" t="s">
        <v>24</v>
      </c>
      <c r="E232" s="3">
        <v>22</v>
      </c>
      <c r="F232" t="s">
        <v>25</v>
      </c>
      <c r="G232" t="s">
        <v>26</v>
      </c>
      <c r="H232" t="s">
        <v>52</v>
      </c>
      <c r="I232" s="4">
        <v>0</v>
      </c>
      <c r="J232" s="5">
        <v>27600</v>
      </c>
      <c r="K232" s="5">
        <v>1800</v>
      </c>
      <c r="L232" s="4">
        <v>4</v>
      </c>
      <c r="M232" s="3">
        <v>7</v>
      </c>
      <c r="N232" s="3">
        <v>9</v>
      </c>
      <c r="O232" s="3">
        <v>27</v>
      </c>
      <c r="P232" s="4">
        <v>4</v>
      </c>
      <c r="Q232" t="s">
        <v>29</v>
      </c>
      <c r="R232" t="s">
        <v>28</v>
      </c>
      <c r="S232" t="s">
        <v>43</v>
      </c>
      <c r="T232" s="2">
        <v>45556</v>
      </c>
      <c r="U232" s="4">
        <v>2.2000000000000002</v>
      </c>
      <c r="V232" s="4">
        <v>3</v>
      </c>
      <c r="W232" t="str">
        <f t="shared" si="6"/>
        <v>November</v>
      </c>
      <c r="X232">
        <f t="shared" si="7"/>
        <v>1231</v>
      </c>
    </row>
    <row r="233" spans="1:24" x14ac:dyDescent="0.3">
      <c r="A233" t="s">
        <v>281</v>
      </c>
      <c r="B233" s="2">
        <v>44227</v>
      </c>
      <c r="C233" t="s">
        <v>54</v>
      </c>
      <c r="D233" t="s">
        <v>24</v>
      </c>
      <c r="E233" s="3">
        <v>38</v>
      </c>
      <c r="F233" t="s">
        <v>25</v>
      </c>
      <c r="G233" t="s">
        <v>51</v>
      </c>
      <c r="H233" t="s">
        <v>55</v>
      </c>
      <c r="I233" s="4">
        <v>18.5</v>
      </c>
      <c r="J233" s="5">
        <v>92400</v>
      </c>
      <c r="K233" s="5">
        <v>10700</v>
      </c>
      <c r="L233" s="4">
        <v>3.6</v>
      </c>
      <c r="M233" s="3">
        <v>11</v>
      </c>
      <c r="N233" s="3">
        <v>10</v>
      </c>
      <c r="O233" s="3">
        <v>29</v>
      </c>
      <c r="P233" s="4">
        <v>3</v>
      </c>
      <c r="Q233" t="s">
        <v>28</v>
      </c>
      <c r="R233" t="s">
        <v>28</v>
      </c>
      <c r="S233" t="s">
        <v>43</v>
      </c>
      <c r="T233" s="2">
        <v>45056</v>
      </c>
      <c r="U233" s="4">
        <v>3.2</v>
      </c>
      <c r="V233" s="4">
        <v>3.8</v>
      </c>
      <c r="W233" t="str">
        <f t="shared" si="6"/>
        <v>January</v>
      </c>
      <c r="X233">
        <f t="shared" si="7"/>
        <v>1232</v>
      </c>
    </row>
    <row r="234" spans="1:24" x14ac:dyDescent="0.3">
      <c r="A234" t="s">
        <v>282</v>
      </c>
      <c r="B234" s="2">
        <v>44770</v>
      </c>
      <c r="C234" t="s">
        <v>40</v>
      </c>
      <c r="D234" t="s">
        <v>24</v>
      </c>
      <c r="E234" s="3">
        <v>21</v>
      </c>
      <c r="F234" t="s">
        <v>50</v>
      </c>
      <c r="G234" t="s">
        <v>26</v>
      </c>
      <c r="H234" t="s">
        <v>46</v>
      </c>
      <c r="I234" s="4">
        <v>0</v>
      </c>
      <c r="J234" s="5">
        <v>37100</v>
      </c>
      <c r="K234" s="5">
        <v>2900</v>
      </c>
      <c r="L234" s="4">
        <v>4.0999999999999996</v>
      </c>
      <c r="M234" s="3">
        <v>9</v>
      </c>
      <c r="N234" s="3">
        <v>14</v>
      </c>
      <c r="O234" s="3">
        <v>2</v>
      </c>
      <c r="P234" s="4">
        <v>3.7</v>
      </c>
      <c r="Q234" t="s">
        <v>28</v>
      </c>
      <c r="R234" t="s">
        <v>28</v>
      </c>
      <c r="S234" t="s">
        <v>43</v>
      </c>
      <c r="T234" s="2">
        <v>45264</v>
      </c>
      <c r="U234" s="4">
        <v>2.6</v>
      </c>
      <c r="V234" s="4">
        <v>3.1</v>
      </c>
      <c r="W234" t="str">
        <f t="shared" si="6"/>
        <v>July</v>
      </c>
      <c r="X234">
        <f t="shared" si="7"/>
        <v>1233</v>
      </c>
    </row>
    <row r="235" spans="1:24" x14ac:dyDescent="0.3">
      <c r="A235" t="s">
        <v>283</v>
      </c>
      <c r="B235" s="2">
        <v>45082</v>
      </c>
      <c r="C235" t="s">
        <v>40</v>
      </c>
      <c r="D235" t="s">
        <v>24</v>
      </c>
      <c r="E235" s="3">
        <v>29</v>
      </c>
      <c r="F235" t="s">
        <v>25</v>
      </c>
      <c r="G235" t="s">
        <v>42</v>
      </c>
      <c r="H235" t="s">
        <v>27</v>
      </c>
      <c r="I235" s="4">
        <v>8.6999999999999993</v>
      </c>
      <c r="J235" s="5">
        <v>93600</v>
      </c>
      <c r="K235" s="5">
        <v>4900</v>
      </c>
      <c r="L235" s="4">
        <v>4.4000000000000004</v>
      </c>
      <c r="M235" s="3">
        <v>9</v>
      </c>
      <c r="N235" s="3">
        <v>9</v>
      </c>
      <c r="O235" s="3">
        <v>10</v>
      </c>
      <c r="P235" s="4">
        <v>4.5</v>
      </c>
      <c r="Q235" t="s">
        <v>28</v>
      </c>
      <c r="R235" t="s">
        <v>29</v>
      </c>
      <c r="S235" t="s">
        <v>38</v>
      </c>
      <c r="T235" s="2">
        <v>45545</v>
      </c>
      <c r="U235" s="4">
        <v>4.2</v>
      </c>
      <c r="V235" s="4">
        <v>4.8</v>
      </c>
      <c r="W235" t="str">
        <f t="shared" si="6"/>
        <v>June</v>
      </c>
      <c r="X235">
        <f t="shared" si="7"/>
        <v>1234</v>
      </c>
    </row>
    <row r="236" spans="1:24" x14ac:dyDescent="0.3">
      <c r="A236" t="s">
        <v>284</v>
      </c>
      <c r="B236" s="2">
        <v>45140</v>
      </c>
      <c r="C236" t="s">
        <v>32</v>
      </c>
      <c r="D236" t="s">
        <v>24</v>
      </c>
      <c r="E236" s="3">
        <v>49</v>
      </c>
      <c r="F236" t="s">
        <v>50</v>
      </c>
      <c r="G236" t="s">
        <v>26</v>
      </c>
      <c r="H236" t="s">
        <v>27</v>
      </c>
      <c r="I236" s="4">
        <v>21.7</v>
      </c>
      <c r="J236" s="5">
        <v>107400</v>
      </c>
      <c r="K236" s="5">
        <v>11300</v>
      </c>
      <c r="L236" s="4">
        <v>3.2</v>
      </c>
      <c r="M236" s="3">
        <v>13</v>
      </c>
      <c r="N236" s="3">
        <v>13</v>
      </c>
      <c r="O236" s="3">
        <v>7</v>
      </c>
      <c r="P236" s="4">
        <v>4.2</v>
      </c>
      <c r="Q236" t="s">
        <v>28</v>
      </c>
      <c r="R236" t="s">
        <v>28</v>
      </c>
      <c r="S236" t="s">
        <v>43</v>
      </c>
      <c r="T236" s="2">
        <v>46203</v>
      </c>
      <c r="U236" s="4">
        <v>4</v>
      </c>
      <c r="V236" s="4">
        <v>4.4000000000000004</v>
      </c>
      <c r="W236" t="str">
        <f t="shared" si="6"/>
        <v>August</v>
      </c>
      <c r="X236">
        <f t="shared" si="7"/>
        <v>1235</v>
      </c>
    </row>
    <row r="237" spans="1:24" x14ac:dyDescent="0.3">
      <c r="A237" t="s">
        <v>285</v>
      </c>
      <c r="B237" s="2">
        <v>45634</v>
      </c>
      <c r="C237" t="s">
        <v>32</v>
      </c>
      <c r="D237" t="s">
        <v>24</v>
      </c>
      <c r="E237" s="3">
        <v>57</v>
      </c>
      <c r="F237" t="s">
        <v>25</v>
      </c>
      <c r="G237" t="s">
        <v>51</v>
      </c>
      <c r="H237" t="s">
        <v>27</v>
      </c>
      <c r="I237" s="4">
        <v>32.200000000000003</v>
      </c>
      <c r="J237" s="5">
        <v>143500</v>
      </c>
      <c r="K237" s="5">
        <v>6200</v>
      </c>
      <c r="L237" s="4">
        <v>2.2000000000000002</v>
      </c>
      <c r="M237" s="3">
        <v>8</v>
      </c>
      <c r="N237" s="3">
        <v>5</v>
      </c>
      <c r="O237" s="3">
        <v>17</v>
      </c>
      <c r="P237" s="4">
        <v>3.5</v>
      </c>
      <c r="Q237" t="s">
        <v>28</v>
      </c>
      <c r="R237" t="s">
        <v>28</v>
      </c>
      <c r="S237" t="s">
        <v>43</v>
      </c>
      <c r="T237" s="2">
        <v>46203</v>
      </c>
      <c r="U237" s="4">
        <v>3.4</v>
      </c>
      <c r="V237" s="4">
        <v>3.5</v>
      </c>
      <c r="W237" t="str">
        <f t="shared" si="6"/>
        <v>December</v>
      </c>
      <c r="X237">
        <f t="shared" si="7"/>
        <v>1236</v>
      </c>
    </row>
    <row r="238" spans="1:24" x14ac:dyDescent="0.3">
      <c r="A238" t="s">
        <v>286</v>
      </c>
      <c r="B238" s="2">
        <v>45804</v>
      </c>
      <c r="C238" t="s">
        <v>54</v>
      </c>
      <c r="D238" t="s">
        <v>41</v>
      </c>
      <c r="E238" s="3">
        <v>47</v>
      </c>
      <c r="F238" t="s">
        <v>25</v>
      </c>
      <c r="G238" t="s">
        <v>51</v>
      </c>
      <c r="H238" t="s">
        <v>37</v>
      </c>
      <c r="I238" s="4">
        <v>23.9</v>
      </c>
      <c r="J238" s="5">
        <v>115400</v>
      </c>
      <c r="K238" s="5">
        <v>11500</v>
      </c>
      <c r="L238" s="4">
        <v>3.3</v>
      </c>
      <c r="M238" s="3">
        <v>14</v>
      </c>
      <c r="N238" s="3">
        <v>18</v>
      </c>
      <c r="O238" s="3">
        <v>3</v>
      </c>
      <c r="P238" s="4">
        <v>2.8</v>
      </c>
      <c r="Q238" t="s">
        <v>28</v>
      </c>
      <c r="R238" t="s">
        <v>28</v>
      </c>
      <c r="S238" t="s">
        <v>30</v>
      </c>
      <c r="T238" s="2">
        <v>46203</v>
      </c>
      <c r="U238" s="4">
        <v>2.2999999999999998</v>
      </c>
      <c r="V238" s="4">
        <v>2.4</v>
      </c>
      <c r="W238" t="str">
        <f t="shared" si="6"/>
        <v>May</v>
      </c>
      <c r="X238">
        <f t="shared" si="7"/>
        <v>1237</v>
      </c>
    </row>
    <row r="239" spans="1:24" x14ac:dyDescent="0.3">
      <c r="A239" t="s">
        <v>287</v>
      </c>
      <c r="B239" s="2">
        <v>44574</v>
      </c>
      <c r="C239" t="s">
        <v>23</v>
      </c>
      <c r="D239" t="s">
        <v>41</v>
      </c>
      <c r="E239" s="3">
        <v>37</v>
      </c>
      <c r="F239" t="s">
        <v>57</v>
      </c>
      <c r="G239" t="s">
        <v>51</v>
      </c>
      <c r="H239" t="s">
        <v>63</v>
      </c>
      <c r="I239" s="4">
        <v>16.100000000000001</v>
      </c>
      <c r="J239" s="5">
        <v>93600</v>
      </c>
      <c r="K239" s="5">
        <v>8100</v>
      </c>
      <c r="L239" s="4">
        <v>3.9</v>
      </c>
      <c r="M239" s="3">
        <v>27</v>
      </c>
      <c r="N239" s="3">
        <v>14</v>
      </c>
      <c r="O239" s="3">
        <v>0</v>
      </c>
      <c r="P239" s="4">
        <v>2.9</v>
      </c>
      <c r="Q239" t="s">
        <v>28</v>
      </c>
      <c r="R239" t="s">
        <v>28</v>
      </c>
      <c r="S239" t="s">
        <v>43</v>
      </c>
      <c r="T239" s="2">
        <v>45170</v>
      </c>
      <c r="U239" s="4">
        <v>3.3</v>
      </c>
      <c r="V239" s="4">
        <v>4</v>
      </c>
      <c r="W239" t="str">
        <f t="shared" si="6"/>
        <v>January</v>
      </c>
      <c r="X239">
        <f t="shared" si="7"/>
        <v>1238</v>
      </c>
    </row>
    <row r="240" spans="1:24" x14ac:dyDescent="0.3">
      <c r="A240" t="s">
        <v>288</v>
      </c>
      <c r="B240" s="2">
        <v>45308</v>
      </c>
      <c r="C240" t="s">
        <v>32</v>
      </c>
      <c r="D240" t="s">
        <v>24</v>
      </c>
      <c r="E240" s="3">
        <v>38</v>
      </c>
      <c r="F240" t="s">
        <v>25</v>
      </c>
      <c r="G240" t="s">
        <v>33</v>
      </c>
      <c r="H240" t="s">
        <v>27</v>
      </c>
      <c r="I240" s="4">
        <v>16.2</v>
      </c>
      <c r="J240" s="5">
        <v>114600</v>
      </c>
      <c r="K240" s="5">
        <v>12800</v>
      </c>
      <c r="L240" s="4">
        <v>2.7</v>
      </c>
      <c r="M240" s="3">
        <v>7</v>
      </c>
      <c r="N240" s="3">
        <v>15</v>
      </c>
      <c r="O240" s="3">
        <v>17</v>
      </c>
      <c r="P240" s="4">
        <v>3.9</v>
      </c>
      <c r="Q240" t="s">
        <v>28</v>
      </c>
      <c r="R240" t="s">
        <v>28</v>
      </c>
      <c r="S240" t="s">
        <v>34</v>
      </c>
      <c r="T240" s="2">
        <v>46200</v>
      </c>
      <c r="U240" s="4">
        <v>4.2</v>
      </c>
      <c r="V240" s="4">
        <v>4.5</v>
      </c>
      <c r="W240" t="str">
        <f t="shared" si="6"/>
        <v>January</v>
      </c>
      <c r="X240">
        <f t="shared" si="7"/>
        <v>1239</v>
      </c>
    </row>
    <row r="241" spans="1:24" x14ac:dyDescent="0.3">
      <c r="A241" t="s">
        <v>289</v>
      </c>
      <c r="B241" s="2">
        <v>45898</v>
      </c>
      <c r="C241" t="s">
        <v>40</v>
      </c>
      <c r="D241" t="s">
        <v>41</v>
      </c>
      <c r="E241" s="3">
        <v>36</v>
      </c>
      <c r="F241" t="s">
        <v>25</v>
      </c>
      <c r="G241" t="s">
        <v>33</v>
      </c>
      <c r="H241" t="s">
        <v>46</v>
      </c>
      <c r="I241" s="4">
        <v>16.7</v>
      </c>
      <c r="J241" s="5">
        <v>110800</v>
      </c>
      <c r="K241" s="5">
        <v>13000</v>
      </c>
      <c r="L241" s="4">
        <v>4</v>
      </c>
      <c r="M241" s="3">
        <v>5</v>
      </c>
      <c r="N241" s="3">
        <v>14</v>
      </c>
      <c r="O241" s="3">
        <v>7</v>
      </c>
      <c r="P241" s="4">
        <v>4.3</v>
      </c>
      <c r="Q241" t="s">
        <v>28</v>
      </c>
      <c r="R241" t="s">
        <v>29</v>
      </c>
      <c r="S241" t="s">
        <v>34</v>
      </c>
      <c r="T241" s="2">
        <v>46203</v>
      </c>
      <c r="U241" s="4">
        <v>2.8</v>
      </c>
      <c r="V241" s="4">
        <v>3</v>
      </c>
      <c r="W241" t="str">
        <f t="shared" si="6"/>
        <v>August</v>
      </c>
      <c r="X241">
        <f t="shared" si="7"/>
        <v>1240</v>
      </c>
    </row>
    <row r="242" spans="1:24" x14ac:dyDescent="0.3">
      <c r="A242" t="s">
        <v>290</v>
      </c>
      <c r="B242" s="2">
        <v>45381</v>
      </c>
      <c r="C242" t="s">
        <v>54</v>
      </c>
      <c r="D242" t="s">
        <v>24</v>
      </c>
      <c r="E242" s="3">
        <v>52</v>
      </c>
      <c r="F242" t="s">
        <v>25</v>
      </c>
      <c r="G242" t="s">
        <v>51</v>
      </c>
      <c r="H242" t="s">
        <v>27</v>
      </c>
      <c r="I242" s="4">
        <v>26.3</v>
      </c>
      <c r="J242" s="5">
        <v>113500</v>
      </c>
      <c r="K242" s="5">
        <v>7600</v>
      </c>
      <c r="L242" s="4">
        <v>3.9</v>
      </c>
      <c r="M242" s="3">
        <v>25</v>
      </c>
      <c r="N242" s="3">
        <v>9</v>
      </c>
      <c r="O242" s="3">
        <v>5</v>
      </c>
      <c r="P242" s="4">
        <v>3.9</v>
      </c>
      <c r="Q242" t="s">
        <v>28</v>
      </c>
      <c r="R242" t="s">
        <v>28</v>
      </c>
      <c r="S242" t="s">
        <v>30</v>
      </c>
      <c r="T242" s="2">
        <v>46203</v>
      </c>
      <c r="U242" s="4">
        <v>2.7</v>
      </c>
      <c r="V242" s="4">
        <v>3</v>
      </c>
      <c r="W242" t="str">
        <f t="shared" si="6"/>
        <v>March</v>
      </c>
      <c r="X242">
        <f t="shared" si="7"/>
        <v>1241</v>
      </c>
    </row>
    <row r="243" spans="1:24" x14ac:dyDescent="0.3">
      <c r="A243" t="s">
        <v>291</v>
      </c>
      <c r="B243" s="2">
        <v>44235</v>
      </c>
      <c r="C243" t="s">
        <v>23</v>
      </c>
      <c r="D243" t="s">
        <v>41</v>
      </c>
      <c r="E243" s="3">
        <v>55</v>
      </c>
      <c r="F243" t="s">
        <v>25</v>
      </c>
      <c r="G243" t="s">
        <v>26</v>
      </c>
      <c r="H243" t="s">
        <v>55</v>
      </c>
      <c r="I243" s="4">
        <v>34.700000000000003</v>
      </c>
      <c r="J243" s="5">
        <v>162500</v>
      </c>
      <c r="K243" s="5">
        <v>14000</v>
      </c>
      <c r="L243" s="4">
        <v>4.5</v>
      </c>
      <c r="M243" s="3">
        <v>19</v>
      </c>
      <c r="N243" s="3">
        <v>7</v>
      </c>
      <c r="O243" s="3">
        <v>25</v>
      </c>
      <c r="P243" s="4">
        <v>3.4</v>
      </c>
      <c r="Q243" t="s">
        <v>28</v>
      </c>
      <c r="R243" t="s">
        <v>29</v>
      </c>
      <c r="S243" t="s">
        <v>34</v>
      </c>
      <c r="T243" s="2">
        <v>44811</v>
      </c>
      <c r="U243" s="4">
        <v>3.3</v>
      </c>
      <c r="V243" s="4">
        <v>3.9</v>
      </c>
      <c r="W243" t="str">
        <f t="shared" si="6"/>
        <v>February</v>
      </c>
      <c r="X243">
        <f t="shared" si="7"/>
        <v>1242</v>
      </c>
    </row>
    <row r="244" spans="1:24" x14ac:dyDescent="0.3">
      <c r="A244" t="s">
        <v>292</v>
      </c>
      <c r="B244" s="2">
        <v>45694</v>
      </c>
      <c r="C244" t="s">
        <v>23</v>
      </c>
      <c r="D244" t="s">
        <v>24</v>
      </c>
      <c r="E244" s="3">
        <v>46</v>
      </c>
      <c r="F244" t="s">
        <v>25</v>
      </c>
      <c r="G244" t="s">
        <v>33</v>
      </c>
      <c r="H244" t="s">
        <v>55</v>
      </c>
      <c r="I244" s="4">
        <v>24.7</v>
      </c>
      <c r="J244" s="5">
        <v>136100</v>
      </c>
      <c r="K244" s="5">
        <v>5400</v>
      </c>
      <c r="L244" s="4">
        <v>4.5</v>
      </c>
      <c r="M244" s="3">
        <v>40</v>
      </c>
      <c r="N244" s="3">
        <v>6</v>
      </c>
      <c r="O244" s="3">
        <v>19</v>
      </c>
      <c r="P244" s="4">
        <v>3.3</v>
      </c>
      <c r="Q244" t="s">
        <v>29</v>
      </c>
      <c r="R244" t="s">
        <v>29</v>
      </c>
      <c r="S244" t="s">
        <v>30</v>
      </c>
      <c r="T244" s="2">
        <v>46203</v>
      </c>
      <c r="U244" s="4">
        <v>3.2</v>
      </c>
      <c r="V244" s="4">
        <v>3.8</v>
      </c>
      <c r="W244" t="str">
        <f t="shared" si="6"/>
        <v>February</v>
      </c>
      <c r="X244">
        <f t="shared" si="7"/>
        <v>1243</v>
      </c>
    </row>
    <row r="245" spans="1:24" x14ac:dyDescent="0.3">
      <c r="A245" t="s">
        <v>293</v>
      </c>
      <c r="B245" s="2">
        <v>45527</v>
      </c>
      <c r="C245" t="s">
        <v>23</v>
      </c>
      <c r="D245" t="s">
        <v>41</v>
      </c>
      <c r="E245" s="3">
        <v>52</v>
      </c>
      <c r="F245" t="s">
        <v>25</v>
      </c>
      <c r="G245" t="s">
        <v>33</v>
      </c>
      <c r="H245" t="s">
        <v>55</v>
      </c>
      <c r="I245" s="4">
        <v>29.2</v>
      </c>
      <c r="J245" s="5">
        <v>144600</v>
      </c>
      <c r="K245" s="5">
        <v>16800</v>
      </c>
      <c r="L245" s="4">
        <v>3.1</v>
      </c>
      <c r="M245" s="3">
        <v>13</v>
      </c>
      <c r="N245" s="3">
        <v>2</v>
      </c>
      <c r="O245" s="3">
        <v>5</v>
      </c>
      <c r="P245" s="4">
        <v>3.9</v>
      </c>
      <c r="Q245" t="s">
        <v>28</v>
      </c>
      <c r="R245" t="s">
        <v>28</v>
      </c>
      <c r="S245" t="s">
        <v>34</v>
      </c>
      <c r="T245" s="2">
        <v>45955</v>
      </c>
      <c r="U245" s="4">
        <v>4.0999999999999996</v>
      </c>
      <c r="V245" s="4">
        <v>4.5</v>
      </c>
      <c r="W245" t="str">
        <f t="shared" si="6"/>
        <v>August</v>
      </c>
      <c r="X245">
        <f t="shared" si="7"/>
        <v>1244</v>
      </c>
    </row>
    <row r="246" spans="1:24" x14ac:dyDescent="0.3">
      <c r="A246" t="s">
        <v>294</v>
      </c>
      <c r="B246" s="2">
        <v>44936</v>
      </c>
      <c r="C246" t="s">
        <v>23</v>
      </c>
      <c r="D246" t="s">
        <v>24</v>
      </c>
      <c r="E246" s="3">
        <v>48</v>
      </c>
      <c r="F246" t="s">
        <v>57</v>
      </c>
      <c r="G246" t="s">
        <v>42</v>
      </c>
      <c r="H246" t="s">
        <v>37</v>
      </c>
      <c r="I246" s="4">
        <v>20.3</v>
      </c>
      <c r="J246" s="5">
        <v>129500</v>
      </c>
      <c r="K246" s="5">
        <v>12200</v>
      </c>
      <c r="L246" s="4">
        <v>4.2</v>
      </c>
      <c r="M246" s="3">
        <v>10</v>
      </c>
      <c r="N246" s="3">
        <v>13</v>
      </c>
      <c r="O246" s="3">
        <v>21</v>
      </c>
      <c r="P246" s="4">
        <v>3.7</v>
      </c>
      <c r="Q246" t="s">
        <v>28</v>
      </c>
      <c r="R246" t="s">
        <v>29</v>
      </c>
      <c r="S246" t="s">
        <v>43</v>
      </c>
      <c r="T246" s="2">
        <v>45430</v>
      </c>
      <c r="U246" s="4">
        <v>3.4</v>
      </c>
      <c r="V246" s="4">
        <v>3.8</v>
      </c>
      <c r="W246" t="str">
        <f t="shared" si="6"/>
        <v>January</v>
      </c>
      <c r="X246">
        <f t="shared" si="7"/>
        <v>1245</v>
      </c>
    </row>
    <row r="247" spans="1:24" x14ac:dyDescent="0.3">
      <c r="A247" t="s">
        <v>295</v>
      </c>
      <c r="B247" s="2">
        <v>45947</v>
      </c>
      <c r="C247" t="s">
        <v>23</v>
      </c>
      <c r="D247" t="s">
        <v>41</v>
      </c>
      <c r="E247" s="3">
        <v>58</v>
      </c>
      <c r="F247" t="s">
        <v>25</v>
      </c>
      <c r="G247" t="s">
        <v>26</v>
      </c>
      <c r="H247" t="s">
        <v>27</v>
      </c>
      <c r="I247" s="4">
        <v>34</v>
      </c>
      <c r="J247" s="5">
        <v>160900</v>
      </c>
      <c r="K247" s="5">
        <v>14600</v>
      </c>
      <c r="L247" s="4">
        <v>3.4</v>
      </c>
      <c r="M247" s="3">
        <v>11</v>
      </c>
      <c r="N247" s="3">
        <v>7</v>
      </c>
      <c r="O247" s="3">
        <v>6</v>
      </c>
      <c r="P247" s="4">
        <v>3.3</v>
      </c>
      <c r="Q247" t="s">
        <v>28</v>
      </c>
      <c r="R247" t="s">
        <v>28</v>
      </c>
      <c r="S247" t="s">
        <v>34</v>
      </c>
      <c r="T247" s="2">
        <v>46203</v>
      </c>
      <c r="U247" s="4">
        <v>2.9</v>
      </c>
      <c r="V247" s="4">
        <v>2.9</v>
      </c>
      <c r="W247" t="str">
        <f t="shared" si="6"/>
        <v>October</v>
      </c>
      <c r="X247">
        <f t="shared" si="7"/>
        <v>1246</v>
      </c>
    </row>
    <row r="248" spans="1:24" x14ac:dyDescent="0.3">
      <c r="A248" t="s">
        <v>296</v>
      </c>
      <c r="B248" s="2">
        <v>44611</v>
      </c>
      <c r="C248" t="s">
        <v>48</v>
      </c>
      <c r="D248" t="s">
        <v>41</v>
      </c>
      <c r="E248" s="3">
        <v>43</v>
      </c>
      <c r="F248" t="s">
        <v>25</v>
      </c>
      <c r="G248" t="s">
        <v>26</v>
      </c>
      <c r="H248" t="s">
        <v>52</v>
      </c>
      <c r="I248" s="4">
        <v>20.3</v>
      </c>
      <c r="J248" s="5">
        <v>96500</v>
      </c>
      <c r="K248" s="5">
        <v>3300</v>
      </c>
      <c r="L248" s="4">
        <v>3.2</v>
      </c>
      <c r="M248" s="3">
        <v>19</v>
      </c>
      <c r="N248" s="3">
        <v>11</v>
      </c>
      <c r="O248" s="3">
        <v>3</v>
      </c>
      <c r="P248" s="4">
        <v>3.5</v>
      </c>
      <c r="Q248" t="s">
        <v>28</v>
      </c>
      <c r="R248" t="s">
        <v>28</v>
      </c>
      <c r="S248" t="s">
        <v>38</v>
      </c>
      <c r="T248" s="2">
        <v>45081</v>
      </c>
      <c r="U248" s="4">
        <v>3.7</v>
      </c>
      <c r="V248" s="4">
        <v>4</v>
      </c>
      <c r="W248" t="str">
        <f t="shared" si="6"/>
        <v>February</v>
      </c>
      <c r="X248">
        <f t="shared" si="7"/>
        <v>1247</v>
      </c>
    </row>
    <row r="249" spans="1:24" x14ac:dyDescent="0.3">
      <c r="A249" t="s">
        <v>297</v>
      </c>
      <c r="B249" s="2">
        <v>44803</v>
      </c>
      <c r="C249" t="s">
        <v>32</v>
      </c>
      <c r="D249" t="s">
        <v>41</v>
      </c>
      <c r="E249" s="3">
        <v>34</v>
      </c>
      <c r="F249" t="s">
        <v>57</v>
      </c>
      <c r="G249" t="s">
        <v>26</v>
      </c>
      <c r="H249" t="s">
        <v>55</v>
      </c>
      <c r="I249" s="4">
        <v>8.8000000000000007</v>
      </c>
      <c r="J249" s="5">
        <v>88600</v>
      </c>
      <c r="K249" s="5">
        <v>7500</v>
      </c>
      <c r="L249" s="4">
        <v>4.5999999999999996</v>
      </c>
      <c r="M249" s="3">
        <v>23</v>
      </c>
      <c r="N249" s="3">
        <v>14</v>
      </c>
      <c r="O249" s="3">
        <v>19</v>
      </c>
      <c r="P249" s="4">
        <v>4.2</v>
      </c>
      <c r="Q249" t="s">
        <v>29</v>
      </c>
      <c r="R249" t="s">
        <v>29</v>
      </c>
      <c r="S249" t="s">
        <v>30</v>
      </c>
      <c r="T249" s="2">
        <v>45416</v>
      </c>
      <c r="U249" s="4">
        <v>3.1</v>
      </c>
      <c r="V249" s="4">
        <v>3.7</v>
      </c>
      <c r="W249" t="str">
        <f t="shared" si="6"/>
        <v>August</v>
      </c>
      <c r="X249">
        <f t="shared" si="7"/>
        <v>1248</v>
      </c>
    </row>
    <row r="250" spans="1:24" x14ac:dyDescent="0.3">
      <c r="A250" t="s">
        <v>298</v>
      </c>
      <c r="B250" s="2">
        <v>44613</v>
      </c>
      <c r="C250" t="s">
        <v>48</v>
      </c>
      <c r="D250" t="s">
        <v>24</v>
      </c>
      <c r="E250" s="3">
        <v>44</v>
      </c>
      <c r="F250" t="s">
        <v>25</v>
      </c>
      <c r="G250" t="s">
        <v>26</v>
      </c>
      <c r="H250" t="s">
        <v>55</v>
      </c>
      <c r="I250" s="4">
        <v>19.100000000000001</v>
      </c>
      <c r="J250" s="5">
        <v>110900</v>
      </c>
      <c r="K250" s="5">
        <v>11100</v>
      </c>
      <c r="L250" s="4">
        <v>3.7</v>
      </c>
      <c r="M250" s="3">
        <v>22</v>
      </c>
      <c r="N250" s="3">
        <v>16</v>
      </c>
      <c r="O250" s="3">
        <v>17</v>
      </c>
      <c r="P250" s="4">
        <v>2.9</v>
      </c>
      <c r="Q250" t="s">
        <v>28</v>
      </c>
      <c r="R250" t="s">
        <v>28</v>
      </c>
      <c r="S250" t="s">
        <v>60</v>
      </c>
      <c r="T250" s="2">
        <v>45721</v>
      </c>
      <c r="U250" s="4">
        <v>3.3</v>
      </c>
      <c r="V250" s="4">
        <v>3.5</v>
      </c>
      <c r="W250" t="str">
        <f t="shared" si="6"/>
        <v>February</v>
      </c>
      <c r="X250">
        <f t="shared" si="7"/>
        <v>1249</v>
      </c>
    </row>
    <row r="251" spans="1:24" x14ac:dyDescent="0.3">
      <c r="A251" t="s">
        <v>299</v>
      </c>
      <c r="B251" s="2">
        <v>44221</v>
      </c>
      <c r="C251" t="s">
        <v>40</v>
      </c>
      <c r="D251" t="s">
        <v>41</v>
      </c>
      <c r="E251" s="3">
        <v>33</v>
      </c>
      <c r="F251" t="s">
        <v>57</v>
      </c>
      <c r="G251" t="s">
        <v>33</v>
      </c>
      <c r="H251" t="s">
        <v>27</v>
      </c>
      <c r="I251" s="4">
        <v>9.1999999999999993</v>
      </c>
      <c r="J251" s="5">
        <v>73800</v>
      </c>
      <c r="K251" s="5">
        <v>7400</v>
      </c>
      <c r="L251" s="4">
        <v>3.9</v>
      </c>
      <c r="M251" s="3">
        <v>25</v>
      </c>
      <c r="N251" s="3">
        <v>9</v>
      </c>
      <c r="O251" s="3">
        <v>26</v>
      </c>
      <c r="P251" s="4">
        <v>4.7</v>
      </c>
      <c r="Q251" t="s">
        <v>28</v>
      </c>
      <c r="R251" t="s">
        <v>28</v>
      </c>
      <c r="S251" t="s">
        <v>38</v>
      </c>
      <c r="T251" s="2">
        <v>44672</v>
      </c>
      <c r="U251" s="4">
        <v>3.5</v>
      </c>
      <c r="V251" s="4">
        <v>3.6</v>
      </c>
      <c r="W251" t="str">
        <f t="shared" si="6"/>
        <v>January</v>
      </c>
      <c r="X251">
        <f t="shared" si="7"/>
        <v>1250</v>
      </c>
    </row>
    <row r="252" spans="1:24" x14ac:dyDescent="0.3">
      <c r="A252" t="s">
        <v>300</v>
      </c>
      <c r="B252" s="2">
        <v>45217</v>
      </c>
      <c r="C252" t="s">
        <v>48</v>
      </c>
      <c r="D252" t="s">
        <v>24</v>
      </c>
      <c r="E252" s="3">
        <v>26</v>
      </c>
      <c r="F252" t="s">
        <v>25</v>
      </c>
      <c r="G252" t="s">
        <v>26</v>
      </c>
      <c r="H252" t="s">
        <v>52</v>
      </c>
      <c r="I252" s="4">
        <v>2.6</v>
      </c>
      <c r="J252" s="5">
        <v>59800</v>
      </c>
      <c r="K252" s="5">
        <v>6400</v>
      </c>
      <c r="L252" s="4">
        <v>3.8</v>
      </c>
      <c r="M252" s="3">
        <v>6</v>
      </c>
      <c r="N252" s="3">
        <v>11</v>
      </c>
      <c r="O252" s="3">
        <v>5</v>
      </c>
      <c r="P252" s="4">
        <v>2.7</v>
      </c>
      <c r="Q252" t="s">
        <v>28</v>
      </c>
      <c r="R252" t="s">
        <v>28</v>
      </c>
      <c r="S252" t="s">
        <v>34</v>
      </c>
      <c r="T252" s="2">
        <v>46203</v>
      </c>
      <c r="U252" s="4">
        <v>4.2</v>
      </c>
      <c r="V252" s="4">
        <v>4.5999999999999996</v>
      </c>
      <c r="W252" t="str">
        <f t="shared" si="6"/>
        <v>October</v>
      </c>
      <c r="X252">
        <f t="shared" si="7"/>
        <v>1251</v>
      </c>
    </row>
    <row r="253" spans="1:24" x14ac:dyDescent="0.3">
      <c r="A253" t="s">
        <v>301</v>
      </c>
      <c r="B253" s="2">
        <v>45178</v>
      </c>
      <c r="C253" t="s">
        <v>40</v>
      </c>
      <c r="D253" t="s">
        <v>41</v>
      </c>
      <c r="E253" s="3">
        <v>25</v>
      </c>
      <c r="F253" t="s">
        <v>57</v>
      </c>
      <c r="G253" t="s">
        <v>51</v>
      </c>
      <c r="H253" t="s">
        <v>55</v>
      </c>
      <c r="I253" s="4">
        <v>0</v>
      </c>
      <c r="J253" s="5">
        <v>28600</v>
      </c>
      <c r="K253" s="5">
        <v>1900</v>
      </c>
      <c r="L253" s="4">
        <v>2.4</v>
      </c>
      <c r="M253" s="3">
        <v>20</v>
      </c>
      <c r="N253" s="3">
        <v>16</v>
      </c>
      <c r="O253" s="3">
        <v>20</v>
      </c>
      <c r="P253" s="4">
        <v>5</v>
      </c>
      <c r="Q253" t="s">
        <v>28</v>
      </c>
      <c r="R253" t="s">
        <v>28</v>
      </c>
      <c r="S253" t="s">
        <v>60</v>
      </c>
      <c r="T253" s="2">
        <v>46203</v>
      </c>
      <c r="U253" s="4">
        <v>3.8</v>
      </c>
      <c r="V253" s="4">
        <v>3.8</v>
      </c>
      <c r="W253" t="str">
        <f t="shared" si="6"/>
        <v>September</v>
      </c>
      <c r="X253">
        <f t="shared" si="7"/>
        <v>1252</v>
      </c>
    </row>
    <row r="254" spans="1:24" x14ac:dyDescent="0.3">
      <c r="A254" t="s">
        <v>302</v>
      </c>
      <c r="B254" s="2">
        <v>45625</v>
      </c>
      <c r="C254" t="s">
        <v>23</v>
      </c>
      <c r="D254" t="s">
        <v>24</v>
      </c>
      <c r="E254" s="3">
        <v>48</v>
      </c>
      <c r="F254" t="s">
        <v>25</v>
      </c>
      <c r="G254" t="s">
        <v>51</v>
      </c>
      <c r="H254" t="s">
        <v>52</v>
      </c>
      <c r="I254" s="4">
        <v>28.9</v>
      </c>
      <c r="J254" s="5">
        <v>130900</v>
      </c>
      <c r="K254" s="5">
        <v>11000</v>
      </c>
      <c r="L254" s="4">
        <v>3.4</v>
      </c>
      <c r="M254" s="3">
        <v>11</v>
      </c>
      <c r="N254" s="3">
        <v>12</v>
      </c>
      <c r="O254" s="3">
        <v>20</v>
      </c>
      <c r="P254" s="4">
        <v>2.6</v>
      </c>
      <c r="Q254" t="s">
        <v>28</v>
      </c>
      <c r="R254" t="s">
        <v>28</v>
      </c>
      <c r="S254" t="s">
        <v>43</v>
      </c>
      <c r="T254" s="2">
        <v>45937</v>
      </c>
      <c r="U254" s="4">
        <v>2.8</v>
      </c>
      <c r="V254" s="4">
        <v>3.2</v>
      </c>
      <c r="W254" t="str">
        <f t="shared" si="6"/>
        <v>November</v>
      </c>
      <c r="X254">
        <f t="shared" si="7"/>
        <v>1253</v>
      </c>
    </row>
    <row r="255" spans="1:24" x14ac:dyDescent="0.3">
      <c r="A255" t="s">
        <v>303</v>
      </c>
      <c r="B255" s="2">
        <v>45050</v>
      </c>
      <c r="C255" t="s">
        <v>36</v>
      </c>
      <c r="D255" t="s">
        <v>24</v>
      </c>
      <c r="E255" s="3">
        <v>23</v>
      </c>
      <c r="F255" t="s">
        <v>25</v>
      </c>
      <c r="G255" t="s">
        <v>26</v>
      </c>
      <c r="H255" t="s">
        <v>27</v>
      </c>
      <c r="I255" s="4">
        <v>0</v>
      </c>
      <c r="J255" s="5">
        <v>42600</v>
      </c>
      <c r="K255" s="5">
        <v>3600</v>
      </c>
      <c r="L255" s="4">
        <v>3</v>
      </c>
      <c r="M255" s="3">
        <v>8</v>
      </c>
      <c r="N255" s="3">
        <v>8</v>
      </c>
      <c r="O255" s="3">
        <v>6</v>
      </c>
      <c r="P255" s="4">
        <v>3.9</v>
      </c>
      <c r="Q255" t="s">
        <v>29</v>
      </c>
      <c r="R255" t="s">
        <v>28</v>
      </c>
      <c r="S255" t="s">
        <v>38</v>
      </c>
      <c r="T255" s="2">
        <v>46136</v>
      </c>
      <c r="U255" s="4">
        <v>3.7</v>
      </c>
      <c r="V255" s="4">
        <v>4</v>
      </c>
      <c r="W255" t="str">
        <f t="shared" si="6"/>
        <v>May</v>
      </c>
      <c r="X255">
        <f t="shared" si="7"/>
        <v>1254</v>
      </c>
    </row>
    <row r="256" spans="1:24" x14ac:dyDescent="0.3">
      <c r="A256" t="s">
        <v>304</v>
      </c>
      <c r="B256" s="2">
        <v>44323</v>
      </c>
      <c r="C256" t="s">
        <v>40</v>
      </c>
      <c r="D256" t="s">
        <v>24</v>
      </c>
      <c r="E256" s="3">
        <v>23</v>
      </c>
      <c r="F256" t="s">
        <v>25</v>
      </c>
      <c r="G256" t="s">
        <v>33</v>
      </c>
      <c r="H256" t="s">
        <v>52</v>
      </c>
      <c r="I256" s="4">
        <v>4.4000000000000004</v>
      </c>
      <c r="J256" s="5">
        <v>60500</v>
      </c>
      <c r="K256" s="5">
        <v>4500</v>
      </c>
      <c r="L256" s="4">
        <v>3.9</v>
      </c>
      <c r="M256" s="3">
        <v>20</v>
      </c>
      <c r="N256" s="3">
        <v>13</v>
      </c>
      <c r="O256" s="3">
        <v>23</v>
      </c>
      <c r="P256" s="4">
        <v>4.2</v>
      </c>
      <c r="Q256" t="s">
        <v>28</v>
      </c>
      <c r="R256" t="s">
        <v>28</v>
      </c>
      <c r="S256" t="s">
        <v>34</v>
      </c>
      <c r="T256" s="2">
        <v>45167</v>
      </c>
      <c r="U256" s="4">
        <v>4</v>
      </c>
      <c r="V256" s="4">
        <v>4.3</v>
      </c>
      <c r="W256" t="str">
        <f t="shared" si="6"/>
        <v>May</v>
      </c>
      <c r="X256">
        <f t="shared" si="7"/>
        <v>1255</v>
      </c>
    </row>
    <row r="257" spans="1:24" x14ac:dyDescent="0.3">
      <c r="A257" t="s">
        <v>305</v>
      </c>
      <c r="B257" s="2">
        <v>44377</v>
      </c>
      <c r="C257" t="s">
        <v>48</v>
      </c>
      <c r="D257" t="s">
        <v>41</v>
      </c>
      <c r="E257" s="3">
        <v>36</v>
      </c>
      <c r="F257" t="s">
        <v>57</v>
      </c>
      <c r="G257" t="s">
        <v>51</v>
      </c>
      <c r="H257" t="s">
        <v>52</v>
      </c>
      <c r="I257" s="4">
        <v>10.199999999999999</v>
      </c>
      <c r="J257" s="5">
        <v>80100</v>
      </c>
      <c r="K257" s="5">
        <v>8000</v>
      </c>
      <c r="L257" s="4">
        <v>3.4</v>
      </c>
      <c r="M257" s="3">
        <v>36</v>
      </c>
      <c r="N257" s="3">
        <v>9</v>
      </c>
      <c r="O257" s="3">
        <v>2</v>
      </c>
      <c r="P257" s="4">
        <v>4.8</v>
      </c>
      <c r="Q257" t="s">
        <v>28</v>
      </c>
      <c r="R257" t="s">
        <v>28</v>
      </c>
      <c r="S257" t="s">
        <v>38</v>
      </c>
      <c r="T257" s="2">
        <v>44763</v>
      </c>
      <c r="U257" s="4">
        <v>3.9</v>
      </c>
      <c r="V257" s="4">
        <v>4.0999999999999996</v>
      </c>
      <c r="W257" t="str">
        <f t="shared" si="6"/>
        <v>June</v>
      </c>
      <c r="X257">
        <f t="shared" si="7"/>
        <v>1256</v>
      </c>
    </row>
    <row r="258" spans="1:24" x14ac:dyDescent="0.3">
      <c r="A258" t="s">
        <v>306</v>
      </c>
      <c r="B258" s="2">
        <v>44214</v>
      </c>
      <c r="C258" t="s">
        <v>32</v>
      </c>
      <c r="D258" t="s">
        <v>24</v>
      </c>
      <c r="E258" s="3">
        <v>40</v>
      </c>
      <c r="F258" t="s">
        <v>25</v>
      </c>
      <c r="G258" t="s">
        <v>33</v>
      </c>
      <c r="H258" t="s">
        <v>27</v>
      </c>
      <c r="I258" s="4">
        <v>18.5</v>
      </c>
      <c r="J258" s="5">
        <v>100700</v>
      </c>
      <c r="K258" s="5">
        <v>6300</v>
      </c>
      <c r="L258" s="4">
        <v>4.2</v>
      </c>
      <c r="M258" s="3">
        <v>22</v>
      </c>
      <c r="N258" s="3">
        <v>13</v>
      </c>
      <c r="O258" s="3">
        <v>10</v>
      </c>
      <c r="P258" s="4">
        <v>4.4000000000000004</v>
      </c>
      <c r="Q258" t="s">
        <v>29</v>
      </c>
      <c r="R258" t="s">
        <v>29</v>
      </c>
      <c r="S258" t="s">
        <v>60</v>
      </c>
      <c r="T258" s="2">
        <v>45518</v>
      </c>
      <c r="U258" s="4">
        <v>3</v>
      </c>
      <c r="V258" s="4">
        <v>3.6</v>
      </c>
      <c r="W258" t="str">
        <f t="shared" ref="W258:W301" si="8">TEXT(B258,"mmmm")</f>
        <v>January</v>
      </c>
      <c r="X258">
        <f t="shared" ref="X258:X301" si="9">VALUE(RIGHT(A258,LEN(A258)-3))</f>
        <v>1257</v>
      </c>
    </row>
    <row r="259" spans="1:24" x14ac:dyDescent="0.3">
      <c r="A259" t="s">
        <v>307</v>
      </c>
      <c r="B259" s="2">
        <v>44766</v>
      </c>
      <c r="C259" t="s">
        <v>54</v>
      </c>
      <c r="D259" t="s">
        <v>24</v>
      </c>
      <c r="E259" s="3">
        <v>39</v>
      </c>
      <c r="F259" t="s">
        <v>25</v>
      </c>
      <c r="G259" t="s">
        <v>26</v>
      </c>
      <c r="H259" t="s">
        <v>55</v>
      </c>
      <c r="I259" s="4">
        <v>14.3</v>
      </c>
      <c r="J259" s="5">
        <v>88900</v>
      </c>
      <c r="K259" s="5">
        <v>7500</v>
      </c>
      <c r="L259" s="4">
        <v>2.7</v>
      </c>
      <c r="M259" s="3">
        <v>28</v>
      </c>
      <c r="N259" s="3">
        <v>14</v>
      </c>
      <c r="O259" s="3">
        <v>12</v>
      </c>
      <c r="P259" s="4">
        <v>4.5999999999999996</v>
      </c>
      <c r="Q259" t="s">
        <v>28</v>
      </c>
      <c r="R259" t="s">
        <v>28</v>
      </c>
      <c r="S259" t="s">
        <v>38</v>
      </c>
      <c r="T259" s="2">
        <v>45702</v>
      </c>
      <c r="U259" s="4">
        <v>3.6</v>
      </c>
      <c r="V259" s="4">
        <v>3.9</v>
      </c>
      <c r="W259" t="str">
        <f t="shared" si="8"/>
        <v>July</v>
      </c>
      <c r="X259">
        <f t="shared" si="9"/>
        <v>1258</v>
      </c>
    </row>
    <row r="260" spans="1:24" x14ac:dyDescent="0.3">
      <c r="A260" t="s">
        <v>308</v>
      </c>
      <c r="B260" s="2">
        <v>44867</v>
      </c>
      <c r="C260" t="s">
        <v>23</v>
      </c>
      <c r="D260" t="s">
        <v>41</v>
      </c>
      <c r="E260" s="3">
        <v>21</v>
      </c>
      <c r="F260" t="s">
        <v>25</v>
      </c>
      <c r="G260" t="s">
        <v>42</v>
      </c>
      <c r="H260" t="s">
        <v>55</v>
      </c>
      <c r="I260" s="4">
        <v>0</v>
      </c>
      <c r="J260" s="5">
        <v>76400</v>
      </c>
      <c r="K260" s="5">
        <v>6000</v>
      </c>
      <c r="L260" s="4">
        <v>3.9</v>
      </c>
      <c r="M260" s="3">
        <v>9</v>
      </c>
      <c r="N260" s="3">
        <v>8</v>
      </c>
      <c r="O260" s="3">
        <v>23</v>
      </c>
      <c r="P260" s="4">
        <v>2.6</v>
      </c>
      <c r="Q260" t="s">
        <v>28</v>
      </c>
      <c r="R260" t="s">
        <v>28</v>
      </c>
      <c r="S260" t="s">
        <v>60</v>
      </c>
      <c r="T260" s="2">
        <v>45419</v>
      </c>
      <c r="U260" s="4">
        <v>3.5</v>
      </c>
      <c r="V260" s="4">
        <v>3.9</v>
      </c>
      <c r="W260" t="str">
        <f t="shared" si="8"/>
        <v>November</v>
      </c>
      <c r="X260">
        <f t="shared" si="9"/>
        <v>1259</v>
      </c>
    </row>
    <row r="261" spans="1:24" x14ac:dyDescent="0.3">
      <c r="A261" t="s">
        <v>309</v>
      </c>
      <c r="B261" s="2">
        <v>44482</v>
      </c>
      <c r="C261" t="s">
        <v>32</v>
      </c>
      <c r="D261" t="s">
        <v>41</v>
      </c>
      <c r="E261" s="3">
        <v>27</v>
      </c>
      <c r="F261" t="s">
        <v>25</v>
      </c>
      <c r="G261" t="s">
        <v>33</v>
      </c>
      <c r="H261" t="s">
        <v>55</v>
      </c>
      <c r="I261" s="4">
        <v>1.1000000000000001</v>
      </c>
      <c r="J261" s="5">
        <v>51900</v>
      </c>
      <c r="K261" s="5">
        <v>1500</v>
      </c>
      <c r="L261" s="4">
        <v>4.5</v>
      </c>
      <c r="M261" s="3">
        <v>28</v>
      </c>
      <c r="N261" s="3">
        <v>8</v>
      </c>
      <c r="O261" s="3">
        <v>8</v>
      </c>
      <c r="P261" s="4">
        <v>3.3</v>
      </c>
      <c r="Q261" t="s">
        <v>29</v>
      </c>
      <c r="R261" t="s">
        <v>28</v>
      </c>
      <c r="S261" t="s">
        <v>38</v>
      </c>
      <c r="T261" s="2">
        <v>45159</v>
      </c>
      <c r="U261" s="4">
        <v>4</v>
      </c>
      <c r="V261" s="4">
        <v>4.5999999999999996</v>
      </c>
      <c r="W261" t="str">
        <f t="shared" si="8"/>
        <v>October</v>
      </c>
      <c r="X261">
        <f t="shared" si="9"/>
        <v>1260</v>
      </c>
    </row>
    <row r="262" spans="1:24" x14ac:dyDescent="0.3">
      <c r="A262" t="s">
        <v>310</v>
      </c>
      <c r="B262" s="2">
        <v>45591</v>
      </c>
      <c r="C262" t="s">
        <v>23</v>
      </c>
      <c r="D262" t="s">
        <v>24</v>
      </c>
      <c r="E262" s="3">
        <v>21</v>
      </c>
      <c r="F262" t="s">
        <v>25</v>
      </c>
      <c r="G262" t="s">
        <v>33</v>
      </c>
      <c r="H262" t="s">
        <v>55</v>
      </c>
      <c r="I262" s="4">
        <v>0</v>
      </c>
      <c r="J262" s="5">
        <v>48800</v>
      </c>
      <c r="K262" s="5">
        <v>1200</v>
      </c>
      <c r="L262" s="4">
        <v>4.0999999999999996</v>
      </c>
      <c r="M262" s="3">
        <v>22</v>
      </c>
      <c r="N262" s="3">
        <v>2</v>
      </c>
      <c r="O262" s="3">
        <v>12</v>
      </c>
      <c r="P262" s="4">
        <v>3.2</v>
      </c>
      <c r="Q262" t="s">
        <v>28</v>
      </c>
      <c r="R262" t="s">
        <v>28</v>
      </c>
      <c r="S262" t="s">
        <v>38</v>
      </c>
      <c r="T262" s="2">
        <v>46203</v>
      </c>
      <c r="U262" s="4">
        <v>2.6</v>
      </c>
      <c r="V262" s="4">
        <v>3.2</v>
      </c>
      <c r="W262" t="str">
        <f t="shared" si="8"/>
        <v>October</v>
      </c>
      <c r="X262">
        <f t="shared" si="9"/>
        <v>1261</v>
      </c>
    </row>
    <row r="263" spans="1:24" x14ac:dyDescent="0.3">
      <c r="A263" t="s">
        <v>311</v>
      </c>
      <c r="B263" s="2">
        <v>45508</v>
      </c>
      <c r="C263" t="s">
        <v>40</v>
      </c>
      <c r="D263" t="s">
        <v>24</v>
      </c>
      <c r="E263" s="3">
        <v>53</v>
      </c>
      <c r="F263" t="s">
        <v>25</v>
      </c>
      <c r="G263" t="s">
        <v>26</v>
      </c>
      <c r="H263" t="s">
        <v>63</v>
      </c>
      <c r="I263" s="4">
        <v>30</v>
      </c>
      <c r="J263" s="5">
        <v>152900</v>
      </c>
      <c r="K263" s="5">
        <v>13500</v>
      </c>
      <c r="L263" s="4">
        <v>3.9</v>
      </c>
      <c r="M263" s="3">
        <v>10</v>
      </c>
      <c r="N263" s="3">
        <v>8</v>
      </c>
      <c r="O263" s="3">
        <v>12</v>
      </c>
      <c r="P263" s="4">
        <v>4</v>
      </c>
      <c r="Q263" t="s">
        <v>28</v>
      </c>
      <c r="R263" t="s">
        <v>28</v>
      </c>
      <c r="S263" t="s">
        <v>60</v>
      </c>
      <c r="T263" s="2">
        <v>46203</v>
      </c>
      <c r="U263" s="4">
        <v>3.7</v>
      </c>
      <c r="V263" s="4">
        <v>4.0999999999999996</v>
      </c>
      <c r="W263" t="str">
        <f t="shared" si="8"/>
        <v>August</v>
      </c>
      <c r="X263">
        <f t="shared" si="9"/>
        <v>1262</v>
      </c>
    </row>
    <row r="264" spans="1:24" x14ac:dyDescent="0.3">
      <c r="A264" t="s">
        <v>312</v>
      </c>
      <c r="B264" s="2">
        <v>44897</v>
      </c>
      <c r="C264" t="s">
        <v>36</v>
      </c>
      <c r="D264" t="s">
        <v>41</v>
      </c>
      <c r="E264" s="3">
        <v>32</v>
      </c>
      <c r="F264" t="s">
        <v>25</v>
      </c>
      <c r="G264" t="s">
        <v>33</v>
      </c>
      <c r="H264" t="s">
        <v>55</v>
      </c>
      <c r="I264" s="4">
        <v>6.1</v>
      </c>
      <c r="J264" s="5">
        <v>75900</v>
      </c>
      <c r="K264" s="5">
        <v>3100</v>
      </c>
      <c r="L264" s="4">
        <v>3.7</v>
      </c>
      <c r="M264" s="3">
        <v>5</v>
      </c>
      <c r="N264" s="3">
        <v>12</v>
      </c>
      <c r="O264" s="3">
        <v>19</v>
      </c>
      <c r="P264" s="4">
        <v>3.3</v>
      </c>
      <c r="Q264" t="s">
        <v>28</v>
      </c>
      <c r="R264" t="s">
        <v>28</v>
      </c>
      <c r="S264" t="s">
        <v>30</v>
      </c>
      <c r="T264" s="2">
        <v>45538</v>
      </c>
      <c r="U264" s="4">
        <v>3.8</v>
      </c>
      <c r="V264" s="4">
        <v>4.3</v>
      </c>
      <c r="W264" t="str">
        <f t="shared" si="8"/>
        <v>December</v>
      </c>
      <c r="X264">
        <f t="shared" si="9"/>
        <v>1263</v>
      </c>
    </row>
    <row r="265" spans="1:24" x14ac:dyDescent="0.3">
      <c r="A265" t="s">
        <v>313</v>
      </c>
      <c r="B265" s="2">
        <v>45337</v>
      </c>
      <c r="C265" t="s">
        <v>40</v>
      </c>
      <c r="D265" t="s">
        <v>41</v>
      </c>
      <c r="E265" s="3">
        <v>29</v>
      </c>
      <c r="F265" t="s">
        <v>25</v>
      </c>
      <c r="G265" t="s">
        <v>51</v>
      </c>
      <c r="H265" t="s">
        <v>55</v>
      </c>
      <c r="I265" s="4">
        <v>9.1</v>
      </c>
      <c r="J265" s="5">
        <v>50400</v>
      </c>
      <c r="K265" s="5">
        <v>2200</v>
      </c>
      <c r="L265" s="4">
        <v>5</v>
      </c>
      <c r="M265" s="3">
        <v>10</v>
      </c>
      <c r="N265" s="3">
        <v>8</v>
      </c>
      <c r="O265" s="3">
        <v>13</v>
      </c>
      <c r="P265" s="4">
        <v>4</v>
      </c>
      <c r="Q265" t="s">
        <v>28</v>
      </c>
      <c r="R265" t="s">
        <v>29</v>
      </c>
      <c r="S265" t="s">
        <v>43</v>
      </c>
      <c r="T265" s="2">
        <v>46203</v>
      </c>
      <c r="U265" s="4">
        <v>2.9</v>
      </c>
      <c r="V265" s="4">
        <v>3.6</v>
      </c>
      <c r="W265" t="str">
        <f t="shared" si="8"/>
        <v>February</v>
      </c>
      <c r="X265">
        <f t="shared" si="9"/>
        <v>1264</v>
      </c>
    </row>
    <row r="266" spans="1:24" x14ac:dyDescent="0.3">
      <c r="A266" t="s">
        <v>314</v>
      </c>
      <c r="B266" s="2">
        <v>45332</v>
      </c>
      <c r="C266" t="s">
        <v>40</v>
      </c>
      <c r="D266" t="s">
        <v>41</v>
      </c>
      <c r="E266" s="3">
        <v>53</v>
      </c>
      <c r="F266" t="s">
        <v>25</v>
      </c>
      <c r="G266" t="s">
        <v>33</v>
      </c>
      <c r="H266" t="s">
        <v>52</v>
      </c>
      <c r="I266" s="4">
        <v>32.700000000000003</v>
      </c>
      <c r="J266" s="5">
        <v>158700</v>
      </c>
      <c r="K266" s="5">
        <v>11800</v>
      </c>
      <c r="L266" s="4">
        <v>3.1</v>
      </c>
      <c r="M266" s="3">
        <v>34</v>
      </c>
      <c r="N266" s="3">
        <v>11</v>
      </c>
      <c r="O266" s="3">
        <v>5</v>
      </c>
      <c r="P266" s="4">
        <v>4</v>
      </c>
      <c r="Q266" t="s">
        <v>28</v>
      </c>
      <c r="R266" t="s">
        <v>28</v>
      </c>
      <c r="S266" t="s">
        <v>30</v>
      </c>
      <c r="T266" s="2">
        <v>46157</v>
      </c>
      <c r="U266" s="4">
        <v>3.6</v>
      </c>
      <c r="V266" s="4">
        <v>3.5</v>
      </c>
      <c r="W266" t="str">
        <f t="shared" si="8"/>
        <v>February</v>
      </c>
      <c r="X266">
        <f t="shared" si="9"/>
        <v>1265</v>
      </c>
    </row>
    <row r="267" spans="1:24" x14ac:dyDescent="0.3">
      <c r="A267" t="s">
        <v>315</v>
      </c>
      <c r="B267" s="2">
        <v>45469</v>
      </c>
      <c r="C267" t="s">
        <v>23</v>
      </c>
      <c r="D267" t="s">
        <v>24</v>
      </c>
      <c r="E267" s="3">
        <v>33</v>
      </c>
      <c r="F267" t="s">
        <v>50</v>
      </c>
      <c r="G267" t="s">
        <v>42</v>
      </c>
      <c r="H267" t="s">
        <v>37</v>
      </c>
      <c r="I267" s="4">
        <v>14.7</v>
      </c>
      <c r="J267" s="5">
        <v>111800</v>
      </c>
      <c r="K267" s="5">
        <v>12100</v>
      </c>
      <c r="L267" s="4">
        <v>4.0999999999999996</v>
      </c>
      <c r="M267" s="3">
        <v>6</v>
      </c>
      <c r="N267" s="3">
        <v>5</v>
      </c>
      <c r="O267" s="3">
        <v>1</v>
      </c>
      <c r="P267" s="4">
        <v>1.8</v>
      </c>
      <c r="Q267" t="s">
        <v>28</v>
      </c>
      <c r="R267" t="s">
        <v>29</v>
      </c>
      <c r="S267" t="s">
        <v>34</v>
      </c>
      <c r="T267" s="2">
        <v>45882</v>
      </c>
      <c r="U267" s="4">
        <v>2.7</v>
      </c>
      <c r="V267" s="4">
        <v>3.3</v>
      </c>
      <c r="W267" t="str">
        <f t="shared" si="8"/>
        <v>June</v>
      </c>
      <c r="X267">
        <f t="shared" si="9"/>
        <v>1266</v>
      </c>
    </row>
    <row r="268" spans="1:24" x14ac:dyDescent="0.3">
      <c r="A268" t="s">
        <v>316</v>
      </c>
      <c r="B268" s="2">
        <v>45273</v>
      </c>
      <c r="C268" t="s">
        <v>48</v>
      </c>
      <c r="D268" t="s">
        <v>24</v>
      </c>
      <c r="E268" s="3">
        <v>57</v>
      </c>
      <c r="F268" t="s">
        <v>25</v>
      </c>
      <c r="G268" t="s">
        <v>26</v>
      </c>
      <c r="H268" t="s">
        <v>63</v>
      </c>
      <c r="I268" s="4">
        <v>29</v>
      </c>
      <c r="J268" s="5">
        <v>135800</v>
      </c>
      <c r="K268" s="5">
        <v>13900</v>
      </c>
      <c r="L268" s="4">
        <v>4</v>
      </c>
      <c r="M268" s="3">
        <v>22</v>
      </c>
      <c r="N268" s="3">
        <v>12</v>
      </c>
      <c r="O268" s="3">
        <v>1</v>
      </c>
      <c r="P268" s="4">
        <v>3.8</v>
      </c>
      <c r="Q268" t="s">
        <v>29</v>
      </c>
      <c r="R268" t="s">
        <v>29</v>
      </c>
      <c r="S268" t="s">
        <v>60</v>
      </c>
      <c r="T268" s="2">
        <v>45681</v>
      </c>
      <c r="U268" s="4">
        <v>3.1</v>
      </c>
      <c r="V268" s="4">
        <v>3.3</v>
      </c>
      <c r="W268" t="str">
        <f t="shared" si="8"/>
        <v>December</v>
      </c>
      <c r="X268">
        <f t="shared" si="9"/>
        <v>1267</v>
      </c>
    </row>
    <row r="269" spans="1:24" x14ac:dyDescent="0.3">
      <c r="A269" t="s">
        <v>317</v>
      </c>
      <c r="B269" s="2">
        <v>45049</v>
      </c>
      <c r="C269" t="s">
        <v>54</v>
      </c>
      <c r="D269" t="s">
        <v>24</v>
      </c>
      <c r="E269" s="3">
        <v>40</v>
      </c>
      <c r="F269" t="s">
        <v>50</v>
      </c>
      <c r="G269" t="s">
        <v>26</v>
      </c>
      <c r="H269" t="s">
        <v>37</v>
      </c>
      <c r="I269" s="4">
        <v>10.5</v>
      </c>
      <c r="J269" s="5">
        <v>74300</v>
      </c>
      <c r="K269" s="5">
        <v>5800</v>
      </c>
      <c r="L269" s="4">
        <v>3.7</v>
      </c>
      <c r="M269" s="3">
        <v>18</v>
      </c>
      <c r="N269" s="3">
        <v>14</v>
      </c>
      <c r="O269" s="3">
        <v>3</v>
      </c>
      <c r="P269" s="4">
        <v>3.7</v>
      </c>
      <c r="Q269" t="s">
        <v>28</v>
      </c>
      <c r="R269" t="s">
        <v>28</v>
      </c>
      <c r="S269" t="s">
        <v>30</v>
      </c>
      <c r="T269" s="2">
        <v>46203</v>
      </c>
      <c r="U269" s="4">
        <v>2.6</v>
      </c>
      <c r="V269" s="4">
        <v>3.1</v>
      </c>
      <c r="W269" t="str">
        <f t="shared" si="8"/>
        <v>May</v>
      </c>
      <c r="X269">
        <f t="shared" si="9"/>
        <v>1268</v>
      </c>
    </row>
    <row r="270" spans="1:24" x14ac:dyDescent="0.3">
      <c r="A270" t="s">
        <v>318</v>
      </c>
      <c r="B270" s="2">
        <v>45265</v>
      </c>
      <c r="C270" t="s">
        <v>32</v>
      </c>
      <c r="D270" t="s">
        <v>41</v>
      </c>
      <c r="E270" s="3">
        <v>22</v>
      </c>
      <c r="F270" t="s">
        <v>25</v>
      </c>
      <c r="G270" t="s">
        <v>33</v>
      </c>
      <c r="H270" t="s">
        <v>37</v>
      </c>
      <c r="I270" s="4">
        <v>0</v>
      </c>
      <c r="J270" s="5">
        <v>47900</v>
      </c>
      <c r="K270" s="5">
        <v>5400</v>
      </c>
      <c r="L270" s="4">
        <v>3.2</v>
      </c>
      <c r="M270" s="3">
        <v>27</v>
      </c>
      <c r="N270" s="3">
        <v>9</v>
      </c>
      <c r="O270" s="3">
        <v>28</v>
      </c>
      <c r="P270" s="4">
        <v>3.5</v>
      </c>
      <c r="Q270" t="s">
        <v>28</v>
      </c>
      <c r="R270" t="s">
        <v>28</v>
      </c>
      <c r="S270" t="s">
        <v>60</v>
      </c>
      <c r="T270" s="2">
        <v>45719</v>
      </c>
      <c r="U270" s="4">
        <v>2.5</v>
      </c>
      <c r="V270" s="4">
        <v>2.5</v>
      </c>
      <c r="W270" t="str">
        <f t="shared" si="8"/>
        <v>December</v>
      </c>
      <c r="X270">
        <f t="shared" si="9"/>
        <v>1269</v>
      </c>
    </row>
    <row r="271" spans="1:24" x14ac:dyDescent="0.3">
      <c r="A271" t="s">
        <v>319</v>
      </c>
      <c r="B271" s="2">
        <v>44515</v>
      </c>
      <c r="C271" t="s">
        <v>54</v>
      </c>
      <c r="D271" t="s">
        <v>24</v>
      </c>
      <c r="E271" s="3">
        <v>29</v>
      </c>
      <c r="F271" t="s">
        <v>25</v>
      </c>
      <c r="G271" t="s">
        <v>51</v>
      </c>
      <c r="H271" t="s">
        <v>52</v>
      </c>
      <c r="I271" s="4">
        <v>9.9</v>
      </c>
      <c r="J271" s="5">
        <v>47900</v>
      </c>
      <c r="K271" s="5">
        <v>2300</v>
      </c>
      <c r="L271" s="4">
        <v>4</v>
      </c>
      <c r="M271" s="3">
        <v>6</v>
      </c>
      <c r="N271" s="3">
        <v>8</v>
      </c>
      <c r="O271" s="3">
        <v>26</v>
      </c>
      <c r="P271" s="4">
        <v>3.4</v>
      </c>
      <c r="Q271" t="s">
        <v>29</v>
      </c>
      <c r="R271" t="s">
        <v>29</v>
      </c>
      <c r="S271" t="s">
        <v>30</v>
      </c>
      <c r="T271" s="2">
        <v>44884</v>
      </c>
      <c r="U271" s="4">
        <v>4.0999999999999996</v>
      </c>
      <c r="V271" s="4">
        <v>4</v>
      </c>
      <c r="W271" t="str">
        <f t="shared" si="8"/>
        <v>November</v>
      </c>
      <c r="X271">
        <f t="shared" si="9"/>
        <v>1270</v>
      </c>
    </row>
    <row r="272" spans="1:24" x14ac:dyDescent="0.3">
      <c r="A272" t="s">
        <v>320</v>
      </c>
      <c r="B272" s="2">
        <v>44674</v>
      </c>
      <c r="C272" t="s">
        <v>36</v>
      </c>
      <c r="D272" t="s">
        <v>41</v>
      </c>
      <c r="E272" s="3">
        <v>40</v>
      </c>
      <c r="F272" t="s">
        <v>57</v>
      </c>
      <c r="G272" t="s">
        <v>33</v>
      </c>
      <c r="H272" t="s">
        <v>37</v>
      </c>
      <c r="I272" s="4">
        <v>15.9</v>
      </c>
      <c r="J272" s="5">
        <v>117400</v>
      </c>
      <c r="K272" s="5">
        <v>5400</v>
      </c>
      <c r="L272" s="4">
        <v>4.7</v>
      </c>
      <c r="M272" s="3">
        <v>18</v>
      </c>
      <c r="N272" s="3">
        <v>5</v>
      </c>
      <c r="O272" s="3">
        <v>26</v>
      </c>
      <c r="P272" s="4">
        <v>3.6</v>
      </c>
      <c r="Q272" t="s">
        <v>28</v>
      </c>
      <c r="R272" t="s">
        <v>29</v>
      </c>
      <c r="S272" t="s">
        <v>43</v>
      </c>
      <c r="T272" s="2">
        <v>45802</v>
      </c>
      <c r="U272" s="4">
        <v>4</v>
      </c>
      <c r="V272" s="4">
        <v>4.0999999999999996</v>
      </c>
      <c r="W272" t="str">
        <f t="shared" si="8"/>
        <v>April</v>
      </c>
      <c r="X272">
        <f t="shared" si="9"/>
        <v>1271</v>
      </c>
    </row>
    <row r="273" spans="1:24" x14ac:dyDescent="0.3">
      <c r="A273" t="s">
        <v>321</v>
      </c>
      <c r="B273" s="2">
        <v>45168</v>
      </c>
      <c r="C273" t="s">
        <v>36</v>
      </c>
      <c r="D273" t="s">
        <v>41</v>
      </c>
      <c r="E273" s="3">
        <v>24</v>
      </c>
      <c r="F273" t="s">
        <v>50</v>
      </c>
      <c r="G273" t="s">
        <v>33</v>
      </c>
      <c r="H273" t="s">
        <v>27</v>
      </c>
      <c r="I273" s="4">
        <v>0</v>
      </c>
      <c r="J273" s="5">
        <v>35900</v>
      </c>
      <c r="K273" s="5">
        <v>1900</v>
      </c>
      <c r="L273" s="4">
        <v>3.8</v>
      </c>
      <c r="M273" s="3">
        <v>19</v>
      </c>
      <c r="N273" s="3">
        <v>6</v>
      </c>
      <c r="O273" s="3">
        <v>7</v>
      </c>
      <c r="P273" s="4">
        <v>4.3</v>
      </c>
      <c r="Q273" t="s">
        <v>28</v>
      </c>
      <c r="R273" t="s">
        <v>28</v>
      </c>
      <c r="S273" t="s">
        <v>60</v>
      </c>
      <c r="T273" s="2">
        <v>46203</v>
      </c>
      <c r="U273" s="4">
        <v>3.2</v>
      </c>
      <c r="V273" s="4">
        <v>3.6</v>
      </c>
      <c r="W273" t="str">
        <f t="shared" si="8"/>
        <v>August</v>
      </c>
      <c r="X273">
        <f t="shared" si="9"/>
        <v>1272</v>
      </c>
    </row>
    <row r="274" spans="1:24" x14ac:dyDescent="0.3">
      <c r="A274" t="s">
        <v>322</v>
      </c>
      <c r="B274" s="2">
        <v>44307</v>
      </c>
      <c r="C274" t="s">
        <v>36</v>
      </c>
      <c r="D274" t="s">
        <v>41</v>
      </c>
      <c r="E274" s="3">
        <v>56</v>
      </c>
      <c r="F274" t="s">
        <v>25</v>
      </c>
      <c r="G274" t="s">
        <v>51</v>
      </c>
      <c r="H274" t="s">
        <v>46</v>
      </c>
      <c r="I274" s="4">
        <v>28.8</v>
      </c>
      <c r="J274" s="5">
        <v>122100</v>
      </c>
      <c r="K274" s="5">
        <v>14200</v>
      </c>
      <c r="L274" s="4">
        <v>4.0999999999999996</v>
      </c>
      <c r="M274" s="3">
        <v>24</v>
      </c>
      <c r="N274" s="3">
        <v>14</v>
      </c>
      <c r="O274" s="3">
        <v>12</v>
      </c>
      <c r="P274" s="4">
        <v>3</v>
      </c>
      <c r="Q274" t="s">
        <v>28</v>
      </c>
      <c r="R274" t="s">
        <v>29</v>
      </c>
      <c r="S274" t="s">
        <v>38</v>
      </c>
      <c r="T274" s="2">
        <v>45388</v>
      </c>
      <c r="U274" s="4">
        <v>3.5</v>
      </c>
      <c r="V274" s="4">
        <v>4.2</v>
      </c>
      <c r="W274" t="str">
        <f t="shared" si="8"/>
        <v>April</v>
      </c>
      <c r="X274">
        <f t="shared" si="9"/>
        <v>1273</v>
      </c>
    </row>
    <row r="275" spans="1:24" x14ac:dyDescent="0.3">
      <c r="A275" t="s">
        <v>323</v>
      </c>
      <c r="B275" s="2">
        <v>45194</v>
      </c>
      <c r="C275" t="s">
        <v>54</v>
      </c>
      <c r="D275" t="s">
        <v>24</v>
      </c>
      <c r="E275" s="3">
        <v>29</v>
      </c>
      <c r="F275" t="s">
        <v>25</v>
      </c>
      <c r="G275" t="s">
        <v>26</v>
      </c>
      <c r="H275" t="s">
        <v>55</v>
      </c>
      <c r="I275" s="4">
        <v>8.4</v>
      </c>
      <c r="J275" s="5">
        <v>69100</v>
      </c>
      <c r="K275" s="5">
        <v>1900</v>
      </c>
      <c r="L275" s="4">
        <v>2.2999999999999998</v>
      </c>
      <c r="M275" s="3">
        <v>32</v>
      </c>
      <c r="N275" s="3">
        <v>2</v>
      </c>
      <c r="O275" s="3">
        <v>4</v>
      </c>
      <c r="P275" s="4">
        <v>3</v>
      </c>
      <c r="Q275" t="s">
        <v>28</v>
      </c>
      <c r="R275" t="s">
        <v>28</v>
      </c>
      <c r="S275" t="s">
        <v>34</v>
      </c>
      <c r="T275" s="2">
        <v>46203</v>
      </c>
      <c r="U275" s="4">
        <v>3.7</v>
      </c>
      <c r="V275" s="4">
        <v>3.9</v>
      </c>
      <c r="W275" t="str">
        <f t="shared" si="8"/>
        <v>September</v>
      </c>
      <c r="X275">
        <f t="shared" si="9"/>
        <v>1274</v>
      </c>
    </row>
    <row r="276" spans="1:24" x14ac:dyDescent="0.3">
      <c r="A276" t="s">
        <v>324</v>
      </c>
      <c r="B276" s="2">
        <v>44867</v>
      </c>
      <c r="C276" t="s">
        <v>36</v>
      </c>
      <c r="D276" t="s">
        <v>41</v>
      </c>
      <c r="E276" s="3">
        <v>28</v>
      </c>
      <c r="F276" t="s">
        <v>25</v>
      </c>
      <c r="G276" t="s">
        <v>33</v>
      </c>
      <c r="H276" t="s">
        <v>55</v>
      </c>
      <c r="I276" s="4">
        <v>4.5999999999999996</v>
      </c>
      <c r="J276" s="5">
        <v>65100</v>
      </c>
      <c r="K276" s="5">
        <v>1800</v>
      </c>
      <c r="L276" s="4">
        <v>3.8</v>
      </c>
      <c r="M276" s="3">
        <v>19</v>
      </c>
      <c r="N276" s="3">
        <v>9</v>
      </c>
      <c r="O276" s="3">
        <v>12</v>
      </c>
      <c r="P276" s="4">
        <v>3.9</v>
      </c>
      <c r="Q276" t="s">
        <v>28</v>
      </c>
      <c r="R276" t="s">
        <v>28</v>
      </c>
      <c r="S276" t="s">
        <v>34</v>
      </c>
      <c r="T276" s="2">
        <v>45935</v>
      </c>
      <c r="U276" s="4">
        <v>4.0999999999999996</v>
      </c>
      <c r="V276" s="4">
        <v>4.5</v>
      </c>
      <c r="W276" t="str">
        <f t="shared" si="8"/>
        <v>November</v>
      </c>
      <c r="X276">
        <f t="shared" si="9"/>
        <v>1275</v>
      </c>
    </row>
    <row r="277" spans="1:24" x14ac:dyDescent="0.3">
      <c r="A277" t="s">
        <v>325</v>
      </c>
      <c r="B277" s="2">
        <v>44885</v>
      </c>
      <c r="C277" t="s">
        <v>48</v>
      </c>
      <c r="D277" t="s">
        <v>41</v>
      </c>
      <c r="E277" s="3">
        <v>41</v>
      </c>
      <c r="F277" t="s">
        <v>25</v>
      </c>
      <c r="G277" t="s">
        <v>51</v>
      </c>
      <c r="H277" t="s">
        <v>46</v>
      </c>
      <c r="I277" s="4">
        <v>15</v>
      </c>
      <c r="J277" s="5">
        <v>81600</v>
      </c>
      <c r="K277" s="5">
        <v>7100</v>
      </c>
      <c r="L277" s="4">
        <v>4.4000000000000004</v>
      </c>
      <c r="M277" s="3">
        <v>37</v>
      </c>
      <c r="N277" s="3">
        <v>17</v>
      </c>
      <c r="O277" s="3">
        <v>16</v>
      </c>
      <c r="P277" s="4">
        <v>3.5</v>
      </c>
      <c r="Q277" t="s">
        <v>28</v>
      </c>
      <c r="R277" t="s">
        <v>29</v>
      </c>
      <c r="S277" t="s">
        <v>38</v>
      </c>
      <c r="T277" s="2">
        <v>45395</v>
      </c>
      <c r="U277" s="4">
        <v>3.9</v>
      </c>
      <c r="V277" s="4">
        <v>4.8</v>
      </c>
      <c r="W277" t="str">
        <f t="shared" si="8"/>
        <v>November</v>
      </c>
      <c r="X277">
        <f t="shared" si="9"/>
        <v>1276</v>
      </c>
    </row>
    <row r="278" spans="1:24" x14ac:dyDescent="0.3">
      <c r="A278" t="s">
        <v>326</v>
      </c>
      <c r="B278" s="2">
        <v>44862</v>
      </c>
      <c r="C278" t="s">
        <v>36</v>
      </c>
      <c r="D278" t="s">
        <v>41</v>
      </c>
      <c r="E278" s="3">
        <v>32</v>
      </c>
      <c r="F278" t="s">
        <v>57</v>
      </c>
      <c r="G278" t="s">
        <v>33</v>
      </c>
      <c r="H278" t="s">
        <v>37</v>
      </c>
      <c r="I278" s="4">
        <v>7.8</v>
      </c>
      <c r="J278" s="5">
        <v>80100</v>
      </c>
      <c r="K278" s="5">
        <v>7700</v>
      </c>
      <c r="L278" s="4">
        <v>2.6</v>
      </c>
      <c r="M278" s="3">
        <v>29</v>
      </c>
      <c r="N278" s="3">
        <v>7</v>
      </c>
      <c r="O278" s="3">
        <v>5</v>
      </c>
      <c r="P278" s="4">
        <v>2.8</v>
      </c>
      <c r="Q278" t="s">
        <v>28</v>
      </c>
      <c r="R278" t="s">
        <v>28</v>
      </c>
      <c r="S278" t="s">
        <v>43</v>
      </c>
      <c r="T278" s="2">
        <v>46128</v>
      </c>
      <c r="U278" s="4">
        <v>3.7</v>
      </c>
      <c r="V278" s="4">
        <v>3.8</v>
      </c>
      <c r="W278" t="str">
        <f t="shared" si="8"/>
        <v>October</v>
      </c>
      <c r="X278">
        <f t="shared" si="9"/>
        <v>1277</v>
      </c>
    </row>
    <row r="279" spans="1:24" x14ac:dyDescent="0.3">
      <c r="A279" t="s">
        <v>327</v>
      </c>
      <c r="B279" s="2">
        <v>45453</v>
      </c>
      <c r="C279" t="s">
        <v>32</v>
      </c>
      <c r="D279" t="s">
        <v>24</v>
      </c>
      <c r="E279" s="3">
        <v>37</v>
      </c>
      <c r="F279" t="s">
        <v>57</v>
      </c>
      <c r="G279" t="s">
        <v>33</v>
      </c>
      <c r="H279" t="s">
        <v>37</v>
      </c>
      <c r="I279" s="4">
        <v>19.600000000000001</v>
      </c>
      <c r="J279" s="5">
        <v>128800</v>
      </c>
      <c r="K279" s="5">
        <v>7200</v>
      </c>
      <c r="L279" s="4">
        <v>4</v>
      </c>
      <c r="M279" s="3">
        <v>20</v>
      </c>
      <c r="N279" s="3">
        <v>16</v>
      </c>
      <c r="O279" s="3">
        <v>12</v>
      </c>
      <c r="P279" s="4">
        <v>4.9000000000000004</v>
      </c>
      <c r="Q279" t="s">
        <v>28</v>
      </c>
      <c r="R279" t="s">
        <v>29</v>
      </c>
      <c r="S279" t="s">
        <v>30</v>
      </c>
      <c r="T279" s="2">
        <v>45880</v>
      </c>
      <c r="U279" s="4">
        <v>2.2999999999999998</v>
      </c>
      <c r="V279" s="4">
        <v>2.7</v>
      </c>
      <c r="W279" t="str">
        <f t="shared" si="8"/>
        <v>June</v>
      </c>
      <c r="X279">
        <f t="shared" si="9"/>
        <v>1278</v>
      </c>
    </row>
    <row r="280" spans="1:24" x14ac:dyDescent="0.3">
      <c r="A280" t="s">
        <v>328</v>
      </c>
      <c r="B280" s="2">
        <v>45298</v>
      </c>
      <c r="C280" t="s">
        <v>32</v>
      </c>
      <c r="D280" t="s">
        <v>41</v>
      </c>
      <c r="E280" s="3">
        <v>27</v>
      </c>
      <c r="F280" t="s">
        <v>25</v>
      </c>
      <c r="G280" t="s">
        <v>51</v>
      </c>
      <c r="H280" t="s">
        <v>63</v>
      </c>
      <c r="I280" s="4">
        <v>3.2</v>
      </c>
      <c r="J280" s="5">
        <v>47400</v>
      </c>
      <c r="K280" s="5">
        <v>5600</v>
      </c>
      <c r="L280" s="4">
        <v>3.4</v>
      </c>
      <c r="M280" s="3">
        <v>26</v>
      </c>
      <c r="N280" s="3">
        <v>15</v>
      </c>
      <c r="O280" s="3">
        <v>19</v>
      </c>
      <c r="P280" s="4">
        <v>3.6</v>
      </c>
      <c r="Q280" t="s">
        <v>28</v>
      </c>
      <c r="R280" t="s">
        <v>28</v>
      </c>
      <c r="S280" t="s">
        <v>34</v>
      </c>
      <c r="T280" s="2">
        <v>46203</v>
      </c>
      <c r="U280" s="4">
        <v>3.3</v>
      </c>
      <c r="V280" s="4">
        <v>4.0999999999999996</v>
      </c>
      <c r="W280" t="str">
        <f t="shared" si="8"/>
        <v>January</v>
      </c>
      <c r="X280">
        <f t="shared" si="9"/>
        <v>1279</v>
      </c>
    </row>
    <row r="281" spans="1:24" x14ac:dyDescent="0.3">
      <c r="A281" t="s">
        <v>329</v>
      </c>
      <c r="B281" s="2">
        <v>44403</v>
      </c>
      <c r="C281" t="s">
        <v>32</v>
      </c>
      <c r="D281" t="s">
        <v>41</v>
      </c>
      <c r="E281" s="3">
        <v>22</v>
      </c>
      <c r="F281" t="s">
        <v>57</v>
      </c>
      <c r="G281" t="s">
        <v>26</v>
      </c>
      <c r="H281" t="s">
        <v>37</v>
      </c>
      <c r="I281" s="4">
        <v>2.4</v>
      </c>
      <c r="J281" s="5">
        <v>49800</v>
      </c>
      <c r="K281" s="5">
        <v>3000</v>
      </c>
      <c r="L281" s="4">
        <v>3.3</v>
      </c>
      <c r="M281" s="3">
        <v>36</v>
      </c>
      <c r="N281" s="3">
        <v>12</v>
      </c>
      <c r="O281" s="3">
        <v>8</v>
      </c>
      <c r="P281" s="4">
        <v>3.2</v>
      </c>
      <c r="Q281" t="s">
        <v>29</v>
      </c>
      <c r="R281" t="s">
        <v>28</v>
      </c>
      <c r="S281" t="s">
        <v>43</v>
      </c>
      <c r="T281" s="2">
        <v>44701</v>
      </c>
      <c r="U281" s="4">
        <v>4.2</v>
      </c>
      <c r="V281" s="4">
        <v>4.5</v>
      </c>
      <c r="W281" t="str">
        <f t="shared" si="8"/>
        <v>July</v>
      </c>
      <c r="X281">
        <f t="shared" si="9"/>
        <v>1280</v>
      </c>
    </row>
    <row r="282" spans="1:24" x14ac:dyDescent="0.3">
      <c r="A282" t="s">
        <v>330</v>
      </c>
      <c r="B282" s="2">
        <v>44847</v>
      </c>
      <c r="C282" t="s">
        <v>48</v>
      </c>
      <c r="D282" t="s">
        <v>41</v>
      </c>
      <c r="E282" s="3">
        <v>24</v>
      </c>
      <c r="F282" t="s">
        <v>25</v>
      </c>
      <c r="G282" t="s">
        <v>33</v>
      </c>
      <c r="H282" t="s">
        <v>52</v>
      </c>
      <c r="I282" s="4">
        <v>1</v>
      </c>
      <c r="J282" s="5">
        <v>51300</v>
      </c>
      <c r="K282" s="5">
        <v>2700</v>
      </c>
      <c r="L282" s="4">
        <v>4.2</v>
      </c>
      <c r="M282" s="3">
        <v>24</v>
      </c>
      <c r="N282" s="3">
        <v>8</v>
      </c>
      <c r="O282" s="3">
        <v>15</v>
      </c>
      <c r="P282" s="4">
        <v>4.4000000000000004</v>
      </c>
      <c r="Q282" t="s">
        <v>28</v>
      </c>
      <c r="R282" t="s">
        <v>28</v>
      </c>
      <c r="S282" t="s">
        <v>43</v>
      </c>
      <c r="T282" s="2">
        <v>45454</v>
      </c>
      <c r="U282" s="4">
        <v>4</v>
      </c>
      <c r="V282" s="4">
        <v>4.2</v>
      </c>
      <c r="W282" t="str">
        <f t="shared" si="8"/>
        <v>October</v>
      </c>
      <c r="X282">
        <f t="shared" si="9"/>
        <v>1281</v>
      </c>
    </row>
    <row r="283" spans="1:24" x14ac:dyDescent="0.3">
      <c r="A283" t="s">
        <v>331</v>
      </c>
      <c r="B283" s="2">
        <v>45480</v>
      </c>
      <c r="C283" t="s">
        <v>54</v>
      </c>
      <c r="D283" t="s">
        <v>24</v>
      </c>
      <c r="E283" s="3">
        <v>29</v>
      </c>
      <c r="F283" t="s">
        <v>25</v>
      </c>
      <c r="G283" t="s">
        <v>26</v>
      </c>
      <c r="H283" t="s">
        <v>52</v>
      </c>
      <c r="I283" s="4">
        <v>5.3</v>
      </c>
      <c r="J283" s="5">
        <v>59500</v>
      </c>
      <c r="K283" s="5">
        <v>3700</v>
      </c>
      <c r="L283" s="4">
        <v>3.8</v>
      </c>
      <c r="M283" s="3">
        <v>11</v>
      </c>
      <c r="N283" s="3">
        <v>7</v>
      </c>
      <c r="O283" s="3">
        <v>14</v>
      </c>
      <c r="P283" s="4">
        <v>2.5</v>
      </c>
      <c r="Q283" t="s">
        <v>28</v>
      </c>
      <c r="R283" t="s">
        <v>28</v>
      </c>
      <c r="S283" t="s">
        <v>34</v>
      </c>
      <c r="T283" s="2">
        <v>45831</v>
      </c>
      <c r="U283" s="4">
        <v>3.8</v>
      </c>
      <c r="V283" s="4">
        <v>4</v>
      </c>
      <c r="W283" t="str">
        <f t="shared" si="8"/>
        <v>July</v>
      </c>
      <c r="X283">
        <f t="shared" si="9"/>
        <v>1282</v>
      </c>
    </row>
    <row r="284" spans="1:24" x14ac:dyDescent="0.3">
      <c r="A284" t="s">
        <v>332</v>
      </c>
      <c r="B284" s="2">
        <v>45407</v>
      </c>
      <c r="C284" t="s">
        <v>36</v>
      </c>
      <c r="D284" t="s">
        <v>24</v>
      </c>
      <c r="E284" s="3">
        <v>21</v>
      </c>
      <c r="F284" t="s">
        <v>25</v>
      </c>
      <c r="G284" t="s">
        <v>33</v>
      </c>
      <c r="H284" t="s">
        <v>46</v>
      </c>
      <c r="I284" s="4">
        <v>0</v>
      </c>
      <c r="J284" s="5">
        <v>54100</v>
      </c>
      <c r="K284" s="5">
        <v>6300</v>
      </c>
      <c r="L284" s="4">
        <v>3.4</v>
      </c>
      <c r="M284" s="3">
        <v>24</v>
      </c>
      <c r="N284" s="3">
        <v>11</v>
      </c>
      <c r="O284" s="3">
        <v>29</v>
      </c>
      <c r="P284" s="4">
        <v>4.5</v>
      </c>
      <c r="Q284" t="s">
        <v>28</v>
      </c>
      <c r="R284" t="s">
        <v>28</v>
      </c>
      <c r="S284" t="s">
        <v>34</v>
      </c>
      <c r="T284" s="2">
        <v>46203</v>
      </c>
      <c r="U284" s="4">
        <v>3.7</v>
      </c>
      <c r="V284" s="4">
        <v>4.4000000000000004</v>
      </c>
      <c r="W284" t="str">
        <f t="shared" si="8"/>
        <v>April</v>
      </c>
      <c r="X284">
        <f t="shared" si="9"/>
        <v>1283</v>
      </c>
    </row>
    <row r="285" spans="1:24" x14ac:dyDescent="0.3">
      <c r="A285" t="s">
        <v>333</v>
      </c>
      <c r="B285" s="2">
        <v>44260</v>
      </c>
      <c r="C285" t="s">
        <v>54</v>
      </c>
      <c r="D285" t="s">
        <v>24</v>
      </c>
      <c r="E285" s="3">
        <v>55</v>
      </c>
      <c r="F285" t="s">
        <v>25</v>
      </c>
      <c r="G285" t="s">
        <v>26</v>
      </c>
      <c r="H285" t="s">
        <v>55</v>
      </c>
      <c r="I285" s="4">
        <v>29.1</v>
      </c>
      <c r="J285" s="5">
        <v>142900</v>
      </c>
      <c r="K285" s="5">
        <v>5800</v>
      </c>
      <c r="L285" s="4">
        <v>3.8</v>
      </c>
      <c r="M285" s="3">
        <v>28</v>
      </c>
      <c r="N285" s="3">
        <v>13</v>
      </c>
      <c r="O285" s="3">
        <v>21</v>
      </c>
      <c r="P285" s="4">
        <v>3.8</v>
      </c>
      <c r="Q285" t="s">
        <v>28</v>
      </c>
      <c r="R285" t="s">
        <v>28</v>
      </c>
      <c r="S285" t="s">
        <v>34</v>
      </c>
      <c r="T285" s="2">
        <v>45260</v>
      </c>
      <c r="U285" s="4">
        <v>2.6</v>
      </c>
      <c r="V285" s="4">
        <v>3.6</v>
      </c>
      <c r="W285" t="str">
        <f t="shared" si="8"/>
        <v>March</v>
      </c>
      <c r="X285">
        <f t="shared" si="9"/>
        <v>1284</v>
      </c>
    </row>
    <row r="286" spans="1:24" x14ac:dyDescent="0.3">
      <c r="A286" t="s">
        <v>334</v>
      </c>
      <c r="B286" s="2">
        <v>44414</v>
      </c>
      <c r="C286" t="s">
        <v>40</v>
      </c>
      <c r="D286" t="s">
        <v>24</v>
      </c>
      <c r="E286" s="3">
        <v>56</v>
      </c>
      <c r="F286" t="s">
        <v>25</v>
      </c>
      <c r="G286" t="s">
        <v>33</v>
      </c>
      <c r="H286" t="s">
        <v>46</v>
      </c>
      <c r="I286" s="4">
        <v>32.1</v>
      </c>
      <c r="J286" s="5">
        <v>163300</v>
      </c>
      <c r="K286" s="5">
        <v>16800</v>
      </c>
      <c r="L286" s="4">
        <v>3.5</v>
      </c>
      <c r="M286" s="3">
        <v>28</v>
      </c>
      <c r="N286" s="3">
        <v>20</v>
      </c>
      <c r="O286" s="3">
        <v>15</v>
      </c>
      <c r="P286" s="4">
        <v>3.5</v>
      </c>
      <c r="Q286" t="s">
        <v>28</v>
      </c>
      <c r="R286" t="s">
        <v>28</v>
      </c>
      <c r="S286" t="s">
        <v>43</v>
      </c>
      <c r="T286" s="2">
        <v>45277</v>
      </c>
      <c r="U286" s="4">
        <v>3.1</v>
      </c>
      <c r="V286" s="4">
        <v>3.7</v>
      </c>
      <c r="W286" t="str">
        <f t="shared" si="8"/>
        <v>August</v>
      </c>
      <c r="X286">
        <f t="shared" si="9"/>
        <v>1285</v>
      </c>
    </row>
    <row r="287" spans="1:24" x14ac:dyDescent="0.3">
      <c r="A287" t="s">
        <v>335</v>
      </c>
      <c r="B287" s="2">
        <v>45771</v>
      </c>
      <c r="C287" t="s">
        <v>40</v>
      </c>
      <c r="D287" t="s">
        <v>41</v>
      </c>
      <c r="E287" s="3">
        <v>38</v>
      </c>
      <c r="F287" t="s">
        <v>25</v>
      </c>
      <c r="G287" t="s">
        <v>26</v>
      </c>
      <c r="H287" t="s">
        <v>46</v>
      </c>
      <c r="I287" s="4">
        <v>10.9</v>
      </c>
      <c r="J287" s="5">
        <v>77200</v>
      </c>
      <c r="K287" s="5">
        <v>3900</v>
      </c>
      <c r="L287" s="4">
        <v>4</v>
      </c>
      <c r="M287" s="3">
        <v>37</v>
      </c>
      <c r="N287" s="3">
        <v>11</v>
      </c>
      <c r="O287" s="3">
        <v>18</v>
      </c>
      <c r="P287" s="4">
        <v>3.2</v>
      </c>
      <c r="Q287" t="s">
        <v>28</v>
      </c>
      <c r="R287" t="s">
        <v>29</v>
      </c>
      <c r="S287" t="s">
        <v>43</v>
      </c>
      <c r="T287" s="2">
        <v>46203</v>
      </c>
      <c r="U287" s="4">
        <v>3.7</v>
      </c>
      <c r="V287" s="4">
        <v>3.9</v>
      </c>
      <c r="W287" t="str">
        <f t="shared" si="8"/>
        <v>April</v>
      </c>
      <c r="X287">
        <f t="shared" si="9"/>
        <v>1286</v>
      </c>
    </row>
    <row r="288" spans="1:24" x14ac:dyDescent="0.3">
      <c r="A288" t="s">
        <v>336</v>
      </c>
      <c r="B288" s="2">
        <v>44742</v>
      </c>
      <c r="C288" t="s">
        <v>36</v>
      </c>
      <c r="D288" t="s">
        <v>41</v>
      </c>
      <c r="E288" s="3">
        <v>60</v>
      </c>
      <c r="F288" t="s">
        <v>25</v>
      </c>
      <c r="G288" t="s">
        <v>26</v>
      </c>
      <c r="H288" t="s">
        <v>52</v>
      </c>
      <c r="I288" s="4">
        <v>35</v>
      </c>
      <c r="J288" s="5">
        <v>157000</v>
      </c>
      <c r="K288" s="5">
        <v>4400</v>
      </c>
      <c r="L288" s="4">
        <v>3.2</v>
      </c>
      <c r="M288" s="3">
        <v>28</v>
      </c>
      <c r="N288" s="3">
        <v>14</v>
      </c>
      <c r="O288" s="3">
        <v>23</v>
      </c>
      <c r="P288" s="4">
        <v>4.2</v>
      </c>
      <c r="Q288" t="s">
        <v>29</v>
      </c>
      <c r="R288" t="s">
        <v>28</v>
      </c>
      <c r="S288" t="s">
        <v>34</v>
      </c>
      <c r="T288" s="2">
        <v>45507</v>
      </c>
      <c r="U288" s="4">
        <v>4.4000000000000004</v>
      </c>
      <c r="V288" s="4">
        <v>4.9000000000000004</v>
      </c>
      <c r="W288" t="str">
        <f t="shared" si="8"/>
        <v>June</v>
      </c>
      <c r="X288">
        <f t="shared" si="9"/>
        <v>1287</v>
      </c>
    </row>
    <row r="289" spans="1:24" x14ac:dyDescent="0.3">
      <c r="A289" t="s">
        <v>337</v>
      </c>
      <c r="B289" s="2">
        <v>45258</v>
      </c>
      <c r="C289" t="s">
        <v>23</v>
      </c>
      <c r="D289" t="s">
        <v>24</v>
      </c>
      <c r="E289" s="3">
        <v>48</v>
      </c>
      <c r="F289" t="s">
        <v>57</v>
      </c>
      <c r="G289" t="s">
        <v>33</v>
      </c>
      <c r="H289" t="s">
        <v>46</v>
      </c>
      <c r="I289" s="4">
        <v>26.1</v>
      </c>
      <c r="J289" s="5">
        <v>136900</v>
      </c>
      <c r="K289" s="5">
        <v>9800</v>
      </c>
      <c r="L289" s="4">
        <v>3.2</v>
      </c>
      <c r="M289" s="3">
        <v>10</v>
      </c>
      <c r="N289" s="3">
        <v>10</v>
      </c>
      <c r="O289" s="3">
        <v>7</v>
      </c>
      <c r="P289" s="4">
        <v>4.4000000000000004</v>
      </c>
      <c r="Q289" t="s">
        <v>28</v>
      </c>
      <c r="R289" t="s">
        <v>28</v>
      </c>
      <c r="S289" t="s">
        <v>38</v>
      </c>
      <c r="T289" s="2">
        <v>45866</v>
      </c>
      <c r="U289" s="4">
        <v>4</v>
      </c>
      <c r="V289" s="4">
        <v>4</v>
      </c>
      <c r="W289" t="str">
        <f t="shared" si="8"/>
        <v>November</v>
      </c>
      <c r="X289">
        <f t="shared" si="9"/>
        <v>1288</v>
      </c>
    </row>
    <row r="290" spans="1:24" x14ac:dyDescent="0.3">
      <c r="A290" t="s">
        <v>338</v>
      </c>
      <c r="B290" s="2">
        <v>44757</v>
      </c>
      <c r="C290" t="s">
        <v>40</v>
      </c>
      <c r="D290" t="s">
        <v>24</v>
      </c>
      <c r="E290" s="3">
        <v>50</v>
      </c>
      <c r="F290" t="s">
        <v>25</v>
      </c>
      <c r="G290" t="s">
        <v>26</v>
      </c>
      <c r="H290" t="s">
        <v>55</v>
      </c>
      <c r="I290" s="4">
        <v>24.9</v>
      </c>
      <c r="J290" s="5">
        <v>130200</v>
      </c>
      <c r="K290" s="5">
        <v>11300</v>
      </c>
      <c r="L290" s="4">
        <v>3.2</v>
      </c>
      <c r="M290" s="3">
        <v>6</v>
      </c>
      <c r="N290" s="3">
        <v>12</v>
      </c>
      <c r="O290" s="3">
        <v>11</v>
      </c>
      <c r="P290" s="4">
        <v>3.1</v>
      </c>
      <c r="Q290" t="s">
        <v>28</v>
      </c>
      <c r="R290" t="s">
        <v>28</v>
      </c>
      <c r="S290" t="s">
        <v>30</v>
      </c>
      <c r="T290" s="2">
        <v>45347</v>
      </c>
      <c r="U290" s="4">
        <v>4.0999999999999996</v>
      </c>
      <c r="V290" s="4">
        <v>4.3</v>
      </c>
      <c r="W290" t="str">
        <f t="shared" si="8"/>
        <v>July</v>
      </c>
      <c r="X290">
        <f t="shared" si="9"/>
        <v>1289</v>
      </c>
    </row>
    <row r="291" spans="1:24" x14ac:dyDescent="0.3">
      <c r="A291" t="s">
        <v>339</v>
      </c>
      <c r="B291" s="2">
        <v>45401</v>
      </c>
      <c r="C291" t="s">
        <v>54</v>
      </c>
      <c r="D291" t="s">
        <v>24</v>
      </c>
      <c r="E291" s="3">
        <v>56</v>
      </c>
      <c r="F291" t="s">
        <v>57</v>
      </c>
      <c r="G291" t="s">
        <v>26</v>
      </c>
      <c r="H291" t="s">
        <v>55</v>
      </c>
      <c r="I291" s="4">
        <v>26.8</v>
      </c>
      <c r="J291" s="5">
        <v>141100</v>
      </c>
      <c r="K291" s="5">
        <v>9200</v>
      </c>
      <c r="L291" s="4">
        <v>3.6</v>
      </c>
      <c r="M291" s="3">
        <v>29</v>
      </c>
      <c r="N291" s="3">
        <v>14</v>
      </c>
      <c r="O291" s="3">
        <v>9</v>
      </c>
      <c r="P291" s="4">
        <v>4.0999999999999996</v>
      </c>
      <c r="Q291" t="s">
        <v>28</v>
      </c>
      <c r="R291" t="s">
        <v>28</v>
      </c>
      <c r="S291" t="s">
        <v>38</v>
      </c>
      <c r="T291" s="2">
        <v>45903</v>
      </c>
      <c r="U291" s="4">
        <v>3.7</v>
      </c>
      <c r="V291" s="4">
        <v>4.2</v>
      </c>
      <c r="W291" t="str">
        <f t="shared" si="8"/>
        <v>April</v>
      </c>
      <c r="X291">
        <f t="shared" si="9"/>
        <v>1290</v>
      </c>
    </row>
    <row r="292" spans="1:24" x14ac:dyDescent="0.3">
      <c r="A292" t="s">
        <v>340</v>
      </c>
      <c r="B292" s="2">
        <v>45184</v>
      </c>
      <c r="C292" t="s">
        <v>32</v>
      </c>
      <c r="D292" t="s">
        <v>24</v>
      </c>
      <c r="E292" s="3">
        <v>26</v>
      </c>
      <c r="F292" t="s">
        <v>25</v>
      </c>
      <c r="G292" t="s">
        <v>51</v>
      </c>
      <c r="H292" t="s">
        <v>46</v>
      </c>
      <c r="I292" s="4">
        <v>4.5999999999999996</v>
      </c>
      <c r="J292" s="5">
        <v>47500</v>
      </c>
      <c r="K292" s="5">
        <v>4000</v>
      </c>
      <c r="L292" s="4">
        <v>3.6</v>
      </c>
      <c r="M292" s="3">
        <v>28</v>
      </c>
      <c r="N292" s="3">
        <v>12</v>
      </c>
      <c r="O292" s="3">
        <v>15</v>
      </c>
      <c r="P292" s="4">
        <v>4.5</v>
      </c>
      <c r="Q292" t="s">
        <v>28</v>
      </c>
      <c r="R292" t="s">
        <v>28</v>
      </c>
      <c r="S292" t="s">
        <v>34</v>
      </c>
      <c r="T292" s="2">
        <v>46182</v>
      </c>
      <c r="U292" s="4">
        <v>3.2</v>
      </c>
      <c r="V292" s="4">
        <v>3.7</v>
      </c>
      <c r="W292" t="str">
        <f t="shared" si="8"/>
        <v>September</v>
      </c>
      <c r="X292">
        <f t="shared" si="9"/>
        <v>1291</v>
      </c>
    </row>
    <row r="293" spans="1:24" x14ac:dyDescent="0.3">
      <c r="A293" t="s">
        <v>341</v>
      </c>
      <c r="B293" s="2">
        <v>45103</v>
      </c>
      <c r="C293" t="s">
        <v>36</v>
      </c>
      <c r="D293" t="s">
        <v>24</v>
      </c>
      <c r="E293" s="3">
        <v>52</v>
      </c>
      <c r="F293" t="s">
        <v>25</v>
      </c>
      <c r="G293" t="s">
        <v>51</v>
      </c>
      <c r="H293" t="s">
        <v>52</v>
      </c>
      <c r="I293" s="4">
        <v>24.4</v>
      </c>
      <c r="J293" s="5">
        <v>113700</v>
      </c>
      <c r="K293" s="5">
        <v>13600</v>
      </c>
      <c r="L293" s="4">
        <v>3</v>
      </c>
      <c r="M293" s="3">
        <v>36</v>
      </c>
      <c r="N293" s="3">
        <v>7</v>
      </c>
      <c r="O293" s="3">
        <v>7</v>
      </c>
      <c r="P293" s="4">
        <v>3.3</v>
      </c>
      <c r="Q293" t="s">
        <v>28</v>
      </c>
      <c r="R293" t="s">
        <v>28</v>
      </c>
      <c r="S293" t="s">
        <v>38</v>
      </c>
      <c r="T293" s="2">
        <v>46203</v>
      </c>
      <c r="U293" s="4">
        <v>2.9</v>
      </c>
      <c r="V293" s="4">
        <v>3.2</v>
      </c>
      <c r="W293" t="str">
        <f t="shared" si="8"/>
        <v>June</v>
      </c>
      <c r="X293">
        <f t="shared" si="9"/>
        <v>1292</v>
      </c>
    </row>
    <row r="294" spans="1:24" x14ac:dyDescent="0.3">
      <c r="A294" t="s">
        <v>342</v>
      </c>
      <c r="B294" s="2">
        <v>44775</v>
      </c>
      <c r="C294" t="s">
        <v>40</v>
      </c>
      <c r="D294" t="s">
        <v>24</v>
      </c>
      <c r="E294" s="3">
        <v>49</v>
      </c>
      <c r="F294" t="s">
        <v>50</v>
      </c>
      <c r="G294" t="s">
        <v>33</v>
      </c>
      <c r="H294" t="s">
        <v>27</v>
      </c>
      <c r="I294" s="4">
        <v>20.9</v>
      </c>
      <c r="J294" s="5">
        <v>112600</v>
      </c>
      <c r="K294" s="5">
        <v>6000</v>
      </c>
      <c r="L294" s="4">
        <v>3.2</v>
      </c>
      <c r="M294" s="3">
        <v>18</v>
      </c>
      <c r="N294" s="3">
        <v>10</v>
      </c>
      <c r="O294" s="3">
        <v>24</v>
      </c>
      <c r="P294" s="4">
        <v>3.1</v>
      </c>
      <c r="Q294" t="s">
        <v>28</v>
      </c>
      <c r="R294" t="s">
        <v>28</v>
      </c>
      <c r="S294" t="s">
        <v>60</v>
      </c>
      <c r="T294" s="2">
        <v>45778</v>
      </c>
      <c r="U294" s="4">
        <v>2.8</v>
      </c>
      <c r="V294" s="4">
        <v>3.1</v>
      </c>
      <c r="W294" t="str">
        <f t="shared" si="8"/>
        <v>August</v>
      </c>
      <c r="X294">
        <f t="shared" si="9"/>
        <v>1293</v>
      </c>
    </row>
    <row r="295" spans="1:24" x14ac:dyDescent="0.3">
      <c r="A295" t="s">
        <v>343</v>
      </c>
      <c r="B295" s="2">
        <v>45214</v>
      </c>
      <c r="C295" t="s">
        <v>40</v>
      </c>
      <c r="D295" t="s">
        <v>24</v>
      </c>
      <c r="E295" s="3">
        <v>44</v>
      </c>
      <c r="F295" t="s">
        <v>25</v>
      </c>
      <c r="G295" t="s">
        <v>42</v>
      </c>
      <c r="H295" t="s">
        <v>63</v>
      </c>
      <c r="I295" s="4">
        <v>16.399999999999999</v>
      </c>
      <c r="J295" s="5">
        <v>116900</v>
      </c>
      <c r="K295" s="5">
        <v>9300</v>
      </c>
      <c r="L295" s="4">
        <v>4.2</v>
      </c>
      <c r="M295" s="3">
        <v>6</v>
      </c>
      <c r="N295" s="3">
        <v>7</v>
      </c>
      <c r="O295" s="3">
        <v>5</v>
      </c>
      <c r="P295" s="4">
        <v>2.8</v>
      </c>
      <c r="Q295" t="s">
        <v>28</v>
      </c>
      <c r="R295" t="s">
        <v>29</v>
      </c>
      <c r="S295" t="s">
        <v>60</v>
      </c>
      <c r="T295" s="2">
        <v>46203</v>
      </c>
      <c r="U295" s="4">
        <v>2.2999999999999998</v>
      </c>
      <c r="V295" s="4">
        <v>2.8</v>
      </c>
      <c r="W295" t="str">
        <f t="shared" si="8"/>
        <v>October</v>
      </c>
      <c r="X295">
        <f t="shared" si="9"/>
        <v>1294</v>
      </c>
    </row>
    <row r="296" spans="1:24" x14ac:dyDescent="0.3">
      <c r="A296" t="s">
        <v>344</v>
      </c>
      <c r="B296" s="2">
        <v>46004</v>
      </c>
      <c r="C296" t="s">
        <v>32</v>
      </c>
      <c r="D296" t="s">
        <v>24</v>
      </c>
      <c r="E296" s="3">
        <v>23</v>
      </c>
      <c r="F296" t="s">
        <v>50</v>
      </c>
      <c r="G296" t="s">
        <v>26</v>
      </c>
      <c r="H296" t="s">
        <v>55</v>
      </c>
      <c r="I296" s="4">
        <v>7.2</v>
      </c>
      <c r="J296" s="5">
        <v>63400</v>
      </c>
      <c r="K296" s="5">
        <v>7000</v>
      </c>
      <c r="L296" s="4">
        <v>3.6</v>
      </c>
      <c r="M296" s="3">
        <v>17</v>
      </c>
      <c r="N296" s="3">
        <v>7</v>
      </c>
      <c r="O296" s="3">
        <v>24</v>
      </c>
      <c r="P296" s="4">
        <v>4.2</v>
      </c>
      <c r="Q296" t="s">
        <v>28</v>
      </c>
      <c r="R296" t="s">
        <v>28</v>
      </c>
      <c r="S296" t="s">
        <v>38</v>
      </c>
      <c r="T296" s="2">
        <v>46203</v>
      </c>
      <c r="U296" s="4">
        <v>2.7</v>
      </c>
      <c r="V296" s="4">
        <v>3.1</v>
      </c>
      <c r="W296" t="str">
        <f t="shared" si="8"/>
        <v>December</v>
      </c>
      <c r="X296">
        <f t="shared" si="9"/>
        <v>1295</v>
      </c>
    </row>
    <row r="297" spans="1:24" x14ac:dyDescent="0.3">
      <c r="A297" t="s">
        <v>345</v>
      </c>
      <c r="B297" s="2">
        <v>45955</v>
      </c>
      <c r="C297" t="s">
        <v>32</v>
      </c>
      <c r="D297" t="s">
        <v>41</v>
      </c>
      <c r="E297" s="3">
        <v>42</v>
      </c>
      <c r="F297" t="s">
        <v>25</v>
      </c>
      <c r="G297" t="s">
        <v>51</v>
      </c>
      <c r="H297" t="s">
        <v>55</v>
      </c>
      <c r="I297" s="4">
        <v>20.6</v>
      </c>
      <c r="J297" s="5">
        <v>103100</v>
      </c>
      <c r="K297" s="5">
        <v>9400</v>
      </c>
      <c r="L297" s="4">
        <v>3</v>
      </c>
      <c r="M297" s="3">
        <v>13</v>
      </c>
      <c r="N297" s="3">
        <v>16</v>
      </c>
      <c r="O297" s="3">
        <v>9</v>
      </c>
      <c r="P297" s="4">
        <v>3.8</v>
      </c>
      <c r="Q297" t="s">
        <v>28</v>
      </c>
      <c r="R297" t="s">
        <v>28</v>
      </c>
      <c r="S297" t="s">
        <v>30</v>
      </c>
      <c r="T297" s="2">
        <v>46203</v>
      </c>
      <c r="U297" s="4">
        <v>2.8</v>
      </c>
      <c r="V297" s="4">
        <v>2.8</v>
      </c>
      <c r="W297" t="str">
        <f t="shared" si="8"/>
        <v>October</v>
      </c>
      <c r="X297">
        <f t="shared" si="9"/>
        <v>1296</v>
      </c>
    </row>
    <row r="298" spans="1:24" x14ac:dyDescent="0.3">
      <c r="A298" t="s">
        <v>346</v>
      </c>
      <c r="B298" s="2">
        <v>45081</v>
      </c>
      <c r="C298" t="s">
        <v>23</v>
      </c>
      <c r="D298" t="s">
        <v>41</v>
      </c>
      <c r="E298" s="3">
        <v>33</v>
      </c>
      <c r="F298" t="s">
        <v>50</v>
      </c>
      <c r="G298" t="s">
        <v>26</v>
      </c>
      <c r="H298" t="s">
        <v>55</v>
      </c>
      <c r="I298" s="4">
        <v>6.8</v>
      </c>
      <c r="J298" s="5">
        <v>55100</v>
      </c>
      <c r="K298" s="5">
        <v>5400</v>
      </c>
      <c r="L298" s="4">
        <v>3.2</v>
      </c>
      <c r="M298" s="3">
        <v>13</v>
      </c>
      <c r="N298" s="3">
        <v>12</v>
      </c>
      <c r="O298" s="3">
        <v>3</v>
      </c>
      <c r="P298" s="4">
        <v>2.8</v>
      </c>
      <c r="Q298" t="s">
        <v>29</v>
      </c>
      <c r="R298" t="s">
        <v>28</v>
      </c>
      <c r="S298" t="s">
        <v>38</v>
      </c>
      <c r="T298" s="2">
        <v>46151</v>
      </c>
      <c r="U298" s="4">
        <v>3.5</v>
      </c>
      <c r="V298" s="4">
        <v>3.9</v>
      </c>
      <c r="W298" t="str">
        <f t="shared" si="8"/>
        <v>June</v>
      </c>
      <c r="X298">
        <f t="shared" si="9"/>
        <v>1297</v>
      </c>
    </row>
    <row r="299" spans="1:24" x14ac:dyDescent="0.3">
      <c r="A299" t="s">
        <v>347</v>
      </c>
      <c r="B299" s="2">
        <v>45609</v>
      </c>
      <c r="C299" t="s">
        <v>40</v>
      </c>
      <c r="D299" t="s">
        <v>24</v>
      </c>
      <c r="E299" s="3">
        <v>48</v>
      </c>
      <c r="F299" t="s">
        <v>25</v>
      </c>
      <c r="G299" t="s">
        <v>42</v>
      </c>
      <c r="H299" t="s">
        <v>52</v>
      </c>
      <c r="I299" s="4">
        <v>22.7</v>
      </c>
      <c r="J299" s="5">
        <v>139700</v>
      </c>
      <c r="K299" s="5">
        <v>15900</v>
      </c>
      <c r="L299" s="4">
        <v>4.0999999999999996</v>
      </c>
      <c r="M299" s="3">
        <v>26</v>
      </c>
      <c r="N299" s="3">
        <v>14</v>
      </c>
      <c r="O299" s="3">
        <v>6</v>
      </c>
      <c r="P299" s="4">
        <v>3.2</v>
      </c>
      <c r="Q299" t="s">
        <v>28</v>
      </c>
      <c r="R299" t="s">
        <v>29</v>
      </c>
      <c r="S299" t="s">
        <v>34</v>
      </c>
      <c r="T299" s="2">
        <v>46203</v>
      </c>
      <c r="U299" s="4">
        <v>2.5</v>
      </c>
      <c r="V299" s="4">
        <v>2.6</v>
      </c>
      <c r="W299" t="str">
        <f t="shared" si="8"/>
        <v>November</v>
      </c>
      <c r="X299">
        <f t="shared" si="9"/>
        <v>1298</v>
      </c>
    </row>
    <row r="300" spans="1:24" x14ac:dyDescent="0.3">
      <c r="A300" t="s">
        <v>348</v>
      </c>
      <c r="B300" s="2">
        <v>45902</v>
      </c>
      <c r="C300" t="s">
        <v>40</v>
      </c>
      <c r="D300" t="s">
        <v>24</v>
      </c>
      <c r="E300" s="3">
        <v>27</v>
      </c>
      <c r="F300" t="s">
        <v>25</v>
      </c>
      <c r="G300" t="s">
        <v>33</v>
      </c>
      <c r="H300" t="s">
        <v>55</v>
      </c>
      <c r="I300" s="4">
        <v>4.8</v>
      </c>
      <c r="J300" s="5">
        <v>71200</v>
      </c>
      <c r="K300" s="5">
        <v>5200</v>
      </c>
      <c r="L300" s="4">
        <v>3.6</v>
      </c>
      <c r="M300" s="3">
        <v>18</v>
      </c>
      <c r="N300" s="3">
        <v>13</v>
      </c>
      <c r="O300" s="3">
        <v>2</v>
      </c>
      <c r="P300" s="4">
        <v>3.3</v>
      </c>
      <c r="Q300" t="s">
        <v>29</v>
      </c>
      <c r="R300" t="s">
        <v>28</v>
      </c>
      <c r="S300" t="s">
        <v>43</v>
      </c>
      <c r="T300" s="2">
        <v>46203</v>
      </c>
      <c r="U300" s="4">
        <v>2.8</v>
      </c>
      <c r="V300" s="4">
        <v>3.3</v>
      </c>
      <c r="W300" t="str">
        <f t="shared" si="8"/>
        <v>September</v>
      </c>
      <c r="X300">
        <f t="shared" si="9"/>
        <v>1299</v>
      </c>
    </row>
    <row r="301" spans="1:24" x14ac:dyDescent="0.3">
      <c r="A301" t="s">
        <v>349</v>
      </c>
      <c r="B301" s="2">
        <v>44702</v>
      </c>
      <c r="C301" t="s">
        <v>32</v>
      </c>
      <c r="D301" t="s">
        <v>41</v>
      </c>
      <c r="E301" s="3">
        <v>46</v>
      </c>
      <c r="F301" t="s">
        <v>25</v>
      </c>
      <c r="G301" t="s">
        <v>33</v>
      </c>
      <c r="H301" t="s">
        <v>37</v>
      </c>
      <c r="I301" s="4">
        <v>19</v>
      </c>
      <c r="J301" s="5">
        <v>116700</v>
      </c>
      <c r="K301" s="5">
        <v>4100</v>
      </c>
      <c r="L301" s="4">
        <v>4.2</v>
      </c>
      <c r="M301" s="3">
        <v>17</v>
      </c>
      <c r="N301" s="3">
        <v>7</v>
      </c>
      <c r="O301" s="3">
        <v>13</v>
      </c>
      <c r="P301" s="4">
        <v>4</v>
      </c>
      <c r="Q301" t="s">
        <v>28</v>
      </c>
      <c r="R301" t="s">
        <v>29</v>
      </c>
      <c r="S301" t="s">
        <v>60</v>
      </c>
      <c r="T301" s="2">
        <v>45430</v>
      </c>
      <c r="U301" s="4">
        <v>3.3</v>
      </c>
      <c r="V301" s="4">
        <v>3.9</v>
      </c>
      <c r="W301" t="str">
        <f t="shared" si="8"/>
        <v>May</v>
      </c>
      <c r="X301">
        <f t="shared" si="9"/>
        <v>1300</v>
      </c>
    </row>
  </sheetData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BFFB4-3AFC-4F9D-9F51-2E45770BACA7}">
  <dimension ref="A1:Y301"/>
  <sheetViews>
    <sheetView workbookViewId="0">
      <selection activeCell="E3" sqref="E3"/>
    </sheetView>
  </sheetViews>
  <sheetFormatPr defaultRowHeight="14.4" x14ac:dyDescent="0.3"/>
  <cols>
    <col min="2" max="2" width="18" customWidth="1"/>
  </cols>
  <sheetData>
    <row r="1" spans="1:25" x14ac:dyDescent="0.3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7" t="s">
        <v>21</v>
      </c>
      <c r="W1" s="37" t="s">
        <v>566</v>
      </c>
      <c r="X1" s="37" t="s">
        <v>567</v>
      </c>
      <c r="Y1" s="16"/>
    </row>
    <row r="2" spans="1:25" x14ac:dyDescent="0.3">
      <c r="A2" s="34" t="s">
        <v>44</v>
      </c>
      <c r="B2" s="35">
        <v>45389</v>
      </c>
      <c r="C2" s="34" t="s">
        <v>40</v>
      </c>
      <c r="D2" s="34" t="s">
        <v>41</v>
      </c>
      <c r="E2" s="36">
        <v>22</v>
      </c>
      <c r="F2" s="34" t="s">
        <v>25</v>
      </c>
      <c r="G2" s="34" t="s">
        <v>26</v>
      </c>
      <c r="H2" s="34" t="s">
        <v>37</v>
      </c>
      <c r="I2" s="34">
        <v>1.6</v>
      </c>
      <c r="J2" s="36">
        <v>50300</v>
      </c>
      <c r="K2" s="36">
        <v>5700</v>
      </c>
      <c r="L2" s="34">
        <v>3.3</v>
      </c>
      <c r="M2" s="36">
        <v>20</v>
      </c>
      <c r="N2" s="36">
        <v>15</v>
      </c>
      <c r="O2" s="36">
        <v>8</v>
      </c>
      <c r="P2" s="34">
        <v>4.2</v>
      </c>
      <c r="Q2" s="34" t="s">
        <v>28</v>
      </c>
      <c r="R2" s="34" t="s">
        <v>28</v>
      </c>
      <c r="S2" s="34" t="s">
        <v>38</v>
      </c>
      <c r="T2" s="35">
        <v>46203</v>
      </c>
      <c r="U2" s="34">
        <v>3</v>
      </c>
      <c r="V2" s="34">
        <v>3.1</v>
      </c>
      <c r="W2" s="34" t="s">
        <v>403</v>
      </c>
      <c r="X2" s="34" t="s">
        <v>568</v>
      </c>
    </row>
    <row r="3" spans="1:25" x14ac:dyDescent="0.3">
      <c r="A3" s="34" t="s">
        <v>53</v>
      </c>
      <c r="B3" s="35">
        <v>45628</v>
      </c>
      <c r="C3" s="34" t="s">
        <v>54</v>
      </c>
      <c r="D3" s="34" t="s">
        <v>24</v>
      </c>
      <c r="E3" s="36">
        <v>49</v>
      </c>
      <c r="F3" s="34" t="s">
        <v>25</v>
      </c>
      <c r="G3" s="34" t="s">
        <v>26</v>
      </c>
      <c r="H3" s="34" t="s">
        <v>55</v>
      </c>
      <c r="I3" s="34">
        <v>28.8</v>
      </c>
      <c r="J3" s="36">
        <v>143300</v>
      </c>
      <c r="K3" s="36">
        <v>7900</v>
      </c>
      <c r="L3" s="34">
        <v>4.3</v>
      </c>
      <c r="M3" s="36">
        <v>31</v>
      </c>
      <c r="N3" s="36">
        <v>14</v>
      </c>
      <c r="O3" s="36">
        <v>9</v>
      </c>
      <c r="P3" s="34">
        <v>3.3</v>
      </c>
      <c r="Q3" s="34" t="s">
        <v>28</v>
      </c>
      <c r="R3" s="34" t="s">
        <v>29</v>
      </c>
      <c r="S3" s="34" t="s">
        <v>38</v>
      </c>
      <c r="T3" s="35">
        <v>46203</v>
      </c>
      <c r="U3" s="34">
        <v>2.8</v>
      </c>
      <c r="V3" s="34">
        <v>3.2</v>
      </c>
      <c r="W3" s="34" t="s">
        <v>407</v>
      </c>
      <c r="X3" s="34" t="s">
        <v>569</v>
      </c>
    </row>
    <row r="4" spans="1:25" x14ac:dyDescent="0.3">
      <c r="A4" s="34" t="s">
        <v>61</v>
      </c>
      <c r="B4" s="35">
        <v>45660</v>
      </c>
      <c r="C4" s="34" t="s">
        <v>32</v>
      </c>
      <c r="D4" s="34" t="s">
        <v>24</v>
      </c>
      <c r="E4" s="36">
        <v>28</v>
      </c>
      <c r="F4" s="34" t="s">
        <v>25</v>
      </c>
      <c r="G4" s="34" t="s">
        <v>42</v>
      </c>
      <c r="H4" s="34" t="s">
        <v>27</v>
      </c>
      <c r="I4" s="34">
        <v>1.8</v>
      </c>
      <c r="J4" s="36">
        <v>65600</v>
      </c>
      <c r="K4" s="36">
        <v>6800</v>
      </c>
      <c r="L4" s="34">
        <v>4.5999999999999996</v>
      </c>
      <c r="M4" s="36">
        <v>14</v>
      </c>
      <c r="N4" s="36">
        <v>16</v>
      </c>
      <c r="O4" s="36">
        <v>3</v>
      </c>
      <c r="P4" s="34">
        <v>4</v>
      </c>
      <c r="Q4" s="34" t="s">
        <v>28</v>
      </c>
      <c r="R4" s="34" t="s">
        <v>28</v>
      </c>
      <c r="S4" s="34" t="s">
        <v>60</v>
      </c>
      <c r="T4" s="35">
        <v>46203</v>
      </c>
      <c r="U4" s="34">
        <v>3.4</v>
      </c>
      <c r="V4" s="34">
        <v>4</v>
      </c>
      <c r="W4" s="34" t="s">
        <v>403</v>
      </c>
      <c r="X4" s="34" t="s">
        <v>570</v>
      </c>
    </row>
    <row r="5" spans="1:25" x14ac:dyDescent="0.3">
      <c r="A5" s="34" t="s">
        <v>65</v>
      </c>
      <c r="B5" s="35">
        <v>45748</v>
      </c>
      <c r="C5" s="34" t="s">
        <v>36</v>
      </c>
      <c r="D5" s="34" t="s">
        <v>24</v>
      </c>
      <c r="E5" s="36">
        <v>56</v>
      </c>
      <c r="F5" s="34" t="s">
        <v>25</v>
      </c>
      <c r="G5" s="34" t="s">
        <v>51</v>
      </c>
      <c r="H5" s="34" t="s">
        <v>55</v>
      </c>
      <c r="I5" s="34">
        <v>30.5</v>
      </c>
      <c r="J5" s="36">
        <v>132500</v>
      </c>
      <c r="K5" s="36">
        <v>11100</v>
      </c>
      <c r="L5" s="34">
        <v>3.2</v>
      </c>
      <c r="M5" s="36">
        <v>6</v>
      </c>
      <c r="N5" s="36">
        <v>10</v>
      </c>
      <c r="O5" s="36">
        <v>4</v>
      </c>
      <c r="P5" s="34">
        <v>3.1</v>
      </c>
      <c r="Q5" s="34" t="s">
        <v>28</v>
      </c>
      <c r="R5" s="34" t="s">
        <v>28</v>
      </c>
      <c r="S5" s="34" t="s">
        <v>60</v>
      </c>
      <c r="T5" s="35">
        <v>46203</v>
      </c>
      <c r="U5" s="34">
        <v>4.3</v>
      </c>
      <c r="V5" s="34">
        <v>4.7</v>
      </c>
      <c r="W5" s="34" t="s">
        <v>407</v>
      </c>
      <c r="X5" s="34" t="s">
        <v>571</v>
      </c>
    </row>
    <row r="6" spans="1:25" x14ac:dyDescent="0.3">
      <c r="A6" s="34" t="s">
        <v>66</v>
      </c>
      <c r="B6" s="35">
        <v>45682</v>
      </c>
      <c r="C6" s="34" t="s">
        <v>23</v>
      </c>
      <c r="D6" s="34" t="s">
        <v>41</v>
      </c>
      <c r="E6" s="36">
        <v>37</v>
      </c>
      <c r="F6" s="34" t="s">
        <v>25</v>
      </c>
      <c r="G6" s="34" t="s">
        <v>51</v>
      </c>
      <c r="H6" s="34" t="s">
        <v>52</v>
      </c>
      <c r="I6" s="34">
        <v>19.899999999999999</v>
      </c>
      <c r="J6" s="36">
        <v>108100</v>
      </c>
      <c r="K6" s="36">
        <v>3700</v>
      </c>
      <c r="L6" s="34">
        <v>3.3</v>
      </c>
      <c r="M6" s="36">
        <v>32</v>
      </c>
      <c r="N6" s="36">
        <v>15</v>
      </c>
      <c r="O6" s="36">
        <v>30</v>
      </c>
      <c r="P6" s="34">
        <v>4.7</v>
      </c>
      <c r="Q6" s="34" t="s">
        <v>28</v>
      </c>
      <c r="R6" s="34" t="s">
        <v>28</v>
      </c>
      <c r="S6" s="34" t="s">
        <v>38</v>
      </c>
      <c r="T6" s="35">
        <v>46203</v>
      </c>
      <c r="U6" s="34">
        <v>2.6</v>
      </c>
      <c r="V6" s="34">
        <v>3.3</v>
      </c>
      <c r="W6" s="34" t="s">
        <v>407</v>
      </c>
      <c r="X6" s="34" t="s">
        <v>572</v>
      </c>
    </row>
    <row r="7" spans="1:25" x14ac:dyDescent="0.3">
      <c r="A7" s="34" t="s">
        <v>67</v>
      </c>
      <c r="B7" s="35">
        <v>45401</v>
      </c>
      <c r="C7" s="34" t="s">
        <v>36</v>
      </c>
      <c r="D7" s="34" t="s">
        <v>41</v>
      </c>
      <c r="E7" s="36">
        <v>56</v>
      </c>
      <c r="F7" s="34" t="s">
        <v>25</v>
      </c>
      <c r="G7" s="34" t="s">
        <v>42</v>
      </c>
      <c r="H7" s="34" t="s">
        <v>63</v>
      </c>
      <c r="I7" s="34">
        <v>35</v>
      </c>
      <c r="J7" s="36">
        <v>205000</v>
      </c>
      <c r="K7" s="36">
        <v>23100</v>
      </c>
      <c r="L7" s="34">
        <v>3.1</v>
      </c>
      <c r="M7" s="36">
        <v>39</v>
      </c>
      <c r="N7" s="36">
        <v>10</v>
      </c>
      <c r="O7" s="36">
        <v>29</v>
      </c>
      <c r="P7" s="34">
        <v>3.5</v>
      </c>
      <c r="Q7" s="34" t="s">
        <v>29</v>
      </c>
      <c r="R7" s="34" t="s">
        <v>28</v>
      </c>
      <c r="S7" s="34" t="s">
        <v>60</v>
      </c>
      <c r="T7" s="35">
        <v>46203</v>
      </c>
      <c r="U7" s="34">
        <v>3.1</v>
      </c>
      <c r="V7" s="34">
        <v>3.6</v>
      </c>
      <c r="W7" s="34" t="s">
        <v>407</v>
      </c>
      <c r="X7" s="34" t="s">
        <v>573</v>
      </c>
    </row>
    <row r="8" spans="1:25" x14ac:dyDescent="0.3">
      <c r="A8" s="34" t="s">
        <v>71</v>
      </c>
      <c r="B8" s="35">
        <v>45973</v>
      </c>
      <c r="C8" s="34" t="s">
        <v>23</v>
      </c>
      <c r="D8" s="34" t="s">
        <v>24</v>
      </c>
      <c r="E8" s="36">
        <v>26</v>
      </c>
      <c r="F8" s="34" t="s">
        <v>25</v>
      </c>
      <c r="G8" s="34" t="s">
        <v>51</v>
      </c>
      <c r="H8" s="34" t="s">
        <v>46</v>
      </c>
      <c r="I8" s="34">
        <v>5.0999999999999996</v>
      </c>
      <c r="J8" s="36">
        <v>51300</v>
      </c>
      <c r="K8" s="36">
        <v>2500</v>
      </c>
      <c r="L8" s="34">
        <v>2.2000000000000002</v>
      </c>
      <c r="M8" s="36">
        <v>37</v>
      </c>
      <c r="N8" s="36">
        <v>10</v>
      </c>
      <c r="O8" s="36">
        <v>1</v>
      </c>
      <c r="P8" s="34">
        <v>3.6</v>
      </c>
      <c r="Q8" s="34" t="s">
        <v>28</v>
      </c>
      <c r="R8" s="34" t="s">
        <v>28</v>
      </c>
      <c r="S8" s="34" t="s">
        <v>34</v>
      </c>
      <c r="T8" s="35">
        <v>46203</v>
      </c>
      <c r="U8" s="34">
        <v>3.2</v>
      </c>
      <c r="V8" s="34">
        <v>3.8</v>
      </c>
      <c r="W8" s="34" t="s">
        <v>405</v>
      </c>
      <c r="X8" s="34" t="s">
        <v>574</v>
      </c>
    </row>
    <row r="9" spans="1:25" x14ac:dyDescent="0.3">
      <c r="A9" s="34" t="s">
        <v>79</v>
      </c>
      <c r="B9" s="35">
        <v>45923</v>
      </c>
      <c r="C9" s="34" t="s">
        <v>48</v>
      </c>
      <c r="D9" s="34" t="s">
        <v>41</v>
      </c>
      <c r="E9" s="36">
        <v>26</v>
      </c>
      <c r="F9" s="34" t="s">
        <v>25</v>
      </c>
      <c r="G9" s="34" t="s">
        <v>33</v>
      </c>
      <c r="H9" s="34" t="s">
        <v>37</v>
      </c>
      <c r="I9" s="34">
        <v>0</v>
      </c>
      <c r="J9" s="36">
        <v>38900</v>
      </c>
      <c r="K9" s="36">
        <v>2200</v>
      </c>
      <c r="L9" s="34">
        <v>4.2</v>
      </c>
      <c r="M9" s="36">
        <v>26</v>
      </c>
      <c r="N9" s="36">
        <v>14</v>
      </c>
      <c r="O9" s="36">
        <v>2</v>
      </c>
      <c r="P9" s="34">
        <v>5</v>
      </c>
      <c r="Q9" s="34" t="s">
        <v>28</v>
      </c>
      <c r="R9" s="34" t="s">
        <v>28</v>
      </c>
      <c r="S9" s="34" t="s">
        <v>38</v>
      </c>
      <c r="T9" s="35">
        <v>46203</v>
      </c>
      <c r="U9" s="34">
        <v>2.6</v>
      </c>
      <c r="V9" s="34">
        <v>2.7</v>
      </c>
      <c r="W9" s="34" t="s">
        <v>403</v>
      </c>
      <c r="X9" s="34" t="s">
        <v>575</v>
      </c>
    </row>
    <row r="10" spans="1:25" x14ac:dyDescent="0.3">
      <c r="A10" s="34" t="s">
        <v>85</v>
      </c>
      <c r="B10" s="35">
        <v>45952</v>
      </c>
      <c r="C10" s="34" t="s">
        <v>36</v>
      </c>
      <c r="D10" s="34" t="s">
        <v>41</v>
      </c>
      <c r="E10" s="36">
        <v>38</v>
      </c>
      <c r="F10" s="34" t="s">
        <v>25</v>
      </c>
      <c r="G10" s="34" t="s">
        <v>26</v>
      </c>
      <c r="H10" s="34" t="s">
        <v>37</v>
      </c>
      <c r="I10" s="34">
        <v>15.9</v>
      </c>
      <c r="J10" s="36">
        <v>93700</v>
      </c>
      <c r="K10" s="36">
        <v>10100</v>
      </c>
      <c r="L10" s="34">
        <v>3.1</v>
      </c>
      <c r="M10" s="36">
        <v>27</v>
      </c>
      <c r="N10" s="36">
        <v>8</v>
      </c>
      <c r="O10" s="36">
        <v>20</v>
      </c>
      <c r="P10" s="34">
        <v>4</v>
      </c>
      <c r="Q10" s="34" t="s">
        <v>28</v>
      </c>
      <c r="R10" s="34" t="s">
        <v>28</v>
      </c>
      <c r="S10" s="34" t="s">
        <v>43</v>
      </c>
      <c r="T10" s="35">
        <v>46203</v>
      </c>
      <c r="U10" s="34">
        <v>3.3</v>
      </c>
      <c r="V10" s="34">
        <v>3.7</v>
      </c>
      <c r="W10" s="34" t="s">
        <v>407</v>
      </c>
      <c r="X10" s="34" t="s">
        <v>576</v>
      </c>
    </row>
    <row r="11" spans="1:25" x14ac:dyDescent="0.3">
      <c r="A11" s="34" t="s">
        <v>91</v>
      </c>
      <c r="B11" s="35">
        <v>45687</v>
      </c>
      <c r="C11" s="34" t="s">
        <v>40</v>
      </c>
      <c r="D11" s="34" t="s">
        <v>41</v>
      </c>
      <c r="E11" s="36">
        <v>46</v>
      </c>
      <c r="F11" s="34" t="s">
        <v>25</v>
      </c>
      <c r="G11" s="34" t="s">
        <v>26</v>
      </c>
      <c r="H11" s="34" t="s">
        <v>46</v>
      </c>
      <c r="I11" s="34">
        <v>23.2</v>
      </c>
      <c r="J11" s="36">
        <v>114200</v>
      </c>
      <c r="K11" s="36">
        <v>10900</v>
      </c>
      <c r="L11" s="34">
        <v>3.6</v>
      </c>
      <c r="M11" s="36">
        <v>13</v>
      </c>
      <c r="N11" s="36">
        <v>8</v>
      </c>
      <c r="O11" s="36">
        <v>18</v>
      </c>
      <c r="P11" s="34">
        <v>2.7</v>
      </c>
      <c r="Q11" s="34" t="s">
        <v>28</v>
      </c>
      <c r="R11" s="34" t="s">
        <v>28</v>
      </c>
      <c r="S11" s="34" t="s">
        <v>38</v>
      </c>
      <c r="T11" s="35">
        <v>46203</v>
      </c>
      <c r="U11" s="34">
        <v>4.4000000000000004</v>
      </c>
      <c r="V11" s="34">
        <v>4.8</v>
      </c>
      <c r="W11" s="34" t="s">
        <v>407</v>
      </c>
      <c r="X11" s="34" t="s">
        <v>577</v>
      </c>
    </row>
    <row r="12" spans="1:25" x14ac:dyDescent="0.3">
      <c r="A12" s="34" t="s">
        <v>92</v>
      </c>
      <c r="B12" s="35">
        <v>45950</v>
      </c>
      <c r="C12" s="34" t="s">
        <v>23</v>
      </c>
      <c r="D12" s="34" t="s">
        <v>41</v>
      </c>
      <c r="E12" s="36">
        <v>21</v>
      </c>
      <c r="F12" s="34" t="s">
        <v>25</v>
      </c>
      <c r="G12" s="34" t="s">
        <v>26</v>
      </c>
      <c r="H12" s="34" t="s">
        <v>52</v>
      </c>
      <c r="I12" s="34">
        <v>0</v>
      </c>
      <c r="J12" s="36">
        <v>34600</v>
      </c>
      <c r="K12" s="36">
        <v>2100</v>
      </c>
      <c r="L12" s="34">
        <v>4</v>
      </c>
      <c r="M12" s="36">
        <v>7</v>
      </c>
      <c r="N12" s="36">
        <v>14</v>
      </c>
      <c r="O12" s="36">
        <v>3</v>
      </c>
      <c r="P12" s="34">
        <v>3.7</v>
      </c>
      <c r="Q12" s="34" t="s">
        <v>29</v>
      </c>
      <c r="R12" s="34" t="s">
        <v>28</v>
      </c>
      <c r="S12" s="34" t="s">
        <v>30</v>
      </c>
      <c r="T12" s="35">
        <v>46203</v>
      </c>
      <c r="U12" s="34">
        <v>2.5</v>
      </c>
      <c r="V12" s="34">
        <v>2.9</v>
      </c>
      <c r="W12" s="34" t="s">
        <v>403</v>
      </c>
      <c r="X12" s="34" t="s">
        <v>578</v>
      </c>
    </row>
    <row r="13" spans="1:25" x14ac:dyDescent="0.3">
      <c r="A13" s="34" t="s">
        <v>96</v>
      </c>
      <c r="B13" s="35">
        <v>45728</v>
      </c>
      <c r="C13" s="34" t="s">
        <v>32</v>
      </c>
      <c r="D13" s="34" t="s">
        <v>41</v>
      </c>
      <c r="E13" s="36">
        <v>46</v>
      </c>
      <c r="F13" s="34" t="s">
        <v>25</v>
      </c>
      <c r="G13" s="34" t="s">
        <v>51</v>
      </c>
      <c r="H13" s="34" t="s">
        <v>37</v>
      </c>
      <c r="I13" s="34">
        <v>23</v>
      </c>
      <c r="J13" s="36">
        <v>101900</v>
      </c>
      <c r="K13" s="36">
        <v>3900</v>
      </c>
      <c r="L13" s="34">
        <v>3.6</v>
      </c>
      <c r="M13" s="36">
        <v>30</v>
      </c>
      <c r="N13" s="36">
        <v>18</v>
      </c>
      <c r="O13" s="36">
        <v>9</v>
      </c>
      <c r="P13" s="34">
        <v>3.5</v>
      </c>
      <c r="Q13" s="34" t="s">
        <v>28</v>
      </c>
      <c r="R13" s="34" t="s">
        <v>28</v>
      </c>
      <c r="S13" s="34" t="s">
        <v>34</v>
      </c>
      <c r="T13" s="35">
        <v>46203</v>
      </c>
      <c r="U13" s="34">
        <v>3.5</v>
      </c>
      <c r="V13" s="34">
        <v>3.6</v>
      </c>
      <c r="W13" s="34" t="s">
        <v>407</v>
      </c>
      <c r="X13" s="34" t="s">
        <v>579</v>
      </c>
    </row>
    <row r="14" spans="1:25" x14ac:dyDescent="0.3">
      <c r="A14" s="34" t="s">
        <v>101</v>
      </c>
      <c r="B14" s="35">
        <v>45613</v>
      </c>
      <c r="C14" s="34" t="s">
        <v>36</v>
      </c>
      <c r="D14" s="34" t="s">
        <v>41</v>
      </c>
      <c r="E14" s="36">
        <v>23</v>
      </c>
      <c r="F14" s="34" t="s">
        <v>25</v>
      </c>
      <c r="G14" s="34" t="s">
        <v>33</v>
      </c>
      <c r="H14" s="34" t="s">
        <v>37</v>
      </c>
      <c r="I14" s="34">
        <v>0</v>
      </c>
      <c r="J14" s="36">
        <v>45800</v>
      </c>
      <c r="K14" s="36">
        <v>1100</v>
      </c>
      <c r="L14" s="34">
        <v>4</v>
      </c>
      <c r="M14" s="36">
        <v>10</v>
      </c>
      <c r="N14" s="36">
        <v>11</v>
      </c>
      <c r="O14" s="36">
        <v>8</v>
      </c>
      <c r="P14" s="34">
        <v>3.8</v>
      </c>
      <c r="Q14" s="34" t="s">
        <v>28</v>
      </c>
      <c r="R14" s="34" t="s">
        <v>28</v>
      </c>
      <c r="S14" s="34" t="s">
        <v>34</v>
      </c>
      <c r="T14" s="35">
        <v>46203</v>
      </c>
      <c r="U14" s="34">
        <v>3.2</v>
      </c>
      <c r="V14" s="34">
        <v>3.5</v>
      </c>
      <c r="W14" s="34" t="s">
        <v>403</v>
      </c>
      <c r="X14" s="34" t="s">
        <v>580</v>
      </c>
    </row>
    <row r="15" spans="1:25" x14ac:dyDescent="0.3">
      <c r="A15" s="34" t="s">
        <v>105</v>
      </c>
      <c r="B15" s="35">
        <v>45181</v>
      </c>
      <c r="C15" s="34" t="s">
        <v>36</v>
      </c>
      <c r="D15" s="34" t="s">
        <v>41</v>
      </c>
      <c r="E15" s="36">
        <v>29</v>
      </c>
      <c r="F15" s="34" t="s">
        <v>25</v>
      </c>
      <c r="G15" s="34" t="s">
        <v>26</v>
      </c>
      <c r="H15" s="34" t="s">
        <v>63</v>
      </c>
      <c r="I15" s="34">
        <v>5.3</v>
      </c>
      <c r="J15" s="36">
        <v>51800</v>
      </c>
      <c r="K15" s="36">
        <v>1400</v>
      </c>
      <c r="L15" s="34">
        <v>5</v>
      </c>
      <c r="M15" s="36">
        <v>32</v>
      </c>
      <c r="N15" s="36">
        <v>10</v>
      </c>
      <c r="O15" s="36">
        <v>4</v>
      </c>
      <c r="P15" s="34">
        <v>3.2</v>
      </c>
      <c r="Q15" s="34" t="s">
        <v>28</v>
      </c>
      <c r="R15" s="34" t="s">
        <v>29</v>
      </c>
      <c r="S15" s="34" t="s">
        <v>60</v>
      </c>
      <c r="T15" s="35">
        <v>46203</v>
      </c>
      <c r="U15" s="34">
        <v>3.3</v>
      </c>
      <c r="V15" s="34">
        <v>3.5</v>
      </c>
      <c r="W15" s="34" t="s">
        <v>405</v>
      </c>
      <c r="X15" s="34" t="s">
        <v>581</v>
      </c>
    </row>
    <row r="16" spans="1:25" x14ac:dyDescent="0.3">
      <c r="A16" s="34" t="s">
        <v>124</v>
      </c>
      <c r="B16" s="35">
        <v>45673</v>
      </c>
      <c r="C16" s="34" t="s">
        <v>36</v>
      </c>
      <c r="D16" s="34" t="s">
        <v>24</v>
      </c>
      <c r="E16" s="36">
        <v>38</v>
      </c>
      <c r="F16" s="34" t="s">
        <v>25</v>
      </c>
      <c r="G16" s="34" t="s">
        <v>26</v>
      </c>
      <c r="H16" s="34" t="s">
        <v>27</v>
      </c>
      <c r="I16" s="34">
        <v>13.6</v>
      </c>
      <c r="J16" s="36">
        <v>85900</v>
      </c>
      <c r="K16" s="36">
        <v>2700</v>
      </c>
      <c r="L16" s="34">
        <v>4.5</v>
      </c>
      <c r="M16" s="36">
        <v>24</v>
      </c>
      <c r="N16" s="36">
        <v>13</v>
      </c>
      <c r="O16" s="36">
        <v>16</v>
      </c>
      <c r="P16" s="34">
        <v>2.8</v>
      </c>
      <c r="Q16" s="34" t="s">
        <v>28</v>
      </c>
      <c r="R16" s="34" t="s">
        <v>29</v>
      </c>
      <c r="S16" s="34" t="s">
        <v>43</v>
      </c>
      <c r="T16" s="35">
        <v>46203</v>
      </c>
      <c r="U16" s="34">
        <v>3.2</v>
      </c>
      <c r="V16" s="34">
        <v>3.2</v>
      </c>
      <c r="W16" s="34" t="s">
        <v>407</v>
      </c>
      <c r="X16" s="34" t="s">
        <v>582</v>
      </c>
    </row>
    <row r="17" spans="1:24" x14ac:dyDescent="0.3">
      <c r="A17" s="34" t="s">
        <v>129</v>
      </c>
      <c r="B17" s="35">
        <v>46008</v>
      </c>
      <c r="C17" s="34" t="s">
        <v>48</v>
      </c>
      <c r="D17" s="34" t="s">
        <v>24</v>
      </c>
      <c r="E17" s="36">
        <v>52</v>
      </c>
      <c r="F17" s="34" t="s">
        <v>25</v>
      </c>
      <c r="G17" s="34" t="s">
        <v>33</v>
      </c>
      <c r="H17" s="34" t="s">
        <v>46</v>
      </c>
      <c r="I17" s="34">
        <v>32.299999999999997</v>
      </c>
      <c r="J17" s="36">
        <v>166800</v>
      </c>
      <c r="K17" s="36">
        <v>19400</v>
      </c>
      <c r="L17" s="34">
        <v>4.5</v>
      </c>
      <c r="M17" s="36">
        <v>30</v>
      </c>
      <c r="N17" s="36">
        <v>13</v>
      </c>
      <c r="O17" s="36">
        <v>12</v>
      </c>
      <c r="P17" s="34">
        <v>3.7</v>
      </c>
      <c r="Q17" s="34" t="s">
        <v>28</v>
      </c>
      <c r="R17" s="34" t="s">
        <v>29</v>
      </c>
      <c r="S17" s="34" t="s">
        <v>43</v>
      </c>
      <c r="T17" s="35">
        <v>46203</v>
      </c>
      <c r="U17" s="34">
        <v>3.6</v>
      </c>
      <c r="V17" s="34">
        <v>4.0999999999999996</v>
      </c>
      <c r="W17" s="34" t="s">
        <v>407</v>
      </c>
      <c r="X17" s="34" t="s">
        <v>583</v>
      </c>
    </row>
    <row r="18" spans="1:24" x14ac:dyDescent="0.3">
      <c r="A18" s="34" t="s">
        <v>134</v>
      </c>
      <c r="B18" s="35">
        <v>45848</v>
      </c>
      <c r="C18" s="34" t="s">
        <v>40</v>
      </c>
      <c r="D18" s="34" t="s">
        <v>41</v>
      </c>
      <c r="E18" s="36">
        <v>23</v>
      </c>
      <c r="F18" s="34" t="s">
        <v>25</v>
      </c>
      <c r="G18" s="34" t="s">
        <v>26</v>
      </c>
      <c r="H18" s="34" t="s">
        <v>63</v>
      </c>
      <c r="I18" s="34">
        <v>0</v>
      </c>
      <c r="J18" s="36">
        <v>41600</v>
      </c>
      <c r="K18" s="36">
        <v>1400</v>
      </c>
      <c r="L18" s="34">
        <v>4.4000000000000004</v>
      </c>
      <c r="M18" s="36">
        <v>33</v>
      </c>
      <c r="N18" s="36">
        <v>17</v>
      </c>
      <c r="O18" s="36">
        <v>14</v>
      </c>
      <c r="P18" s="34">
        <v>3</v>
      </c>
      <c r="Q18" s="34" t="s">
        <v>28</v>
      </c>
      <c r="R18" s="34" t="s">
        <v>28</v>
      </c>
      <c r="S18" s="34" t="s">
        <v>38</v>
      </c>
      <c r="T18" s="35">
        <v>46203</v>
      </c>
      <c r="U18" s="34">
        <v>3.4</v>
      </c>
      <c r="V18" s="34">
        <v>4</v>
      </c>
      <c r="W18" s="34" t="s">
        <v>403</v>
      </c>
      <c r="X18" s="34" t="s">
        <v>584</v>
      </c>
    </row>
    <row r="19" spans="1:24" x14ac:dyDescent="0.3">
      <c r="A19" s="34" t="s">
        <v>136</v>
      </c>
      <c r="B19" s="35">
        <v>45670</v>
      </c>
      <c r="C19" s="34" t="s">
        <v>48</v>
      </c>
      <c r="D19" s="34" t="s">
        <v>24</v>
      </c>
      <c r="E19" s="36">
        <v>57</v>
      </c>
      <c r="F19" s="34" t="s">
        <v>25</v>
      </c>
      <c r="G19" s="34" t="s">
        <v>26</v>
      </c>
      <c r="H19" s="34" t="s">
        <v>55</v>
      </c>
      <c r="I19" s="34">
        <v>33.700000000000003</v>
      </c>
      <c r="J19" s="36">
        <v>150500</v>
      </c>
      <c r="K19" s="36">
        <v>3100</v>
      </c>
      <c r="L19" s="34">
        <v>3.6</v>
      </c>
      <c r="M19" s="36">
        <v>28</v>
      </c>
      <c r="N19" s="36">
        <v>11</v>
      </c>
      <c r="O19" s="36">
        <v>16</v>
      </c>
      <c r="P19" s="34">
        <v>4.0999999999999996</v>
      </c>
      <c r="Q19" s="34" t="s">
        <v>28</v>
      </c>
      <c r="R19" s="34" t="s">
        <v>28</v>
      </c>
      <c r="S19" s="34" t="s">
        <v>43</v>
      </c>
      <c r="T19" s="35">
        <v>46203</v>
      </c>
      <c r="U19" s="34">
        <v>3.4</v>
      </c>
      <c r="V19" s="34">
        <v>3.7</v>
      </c>
      <c r="W19" s="34" t="s">
        <v>407</v>
      </c>
      <c r="X19" s="34" t="s">
        <v>585</v>
      </c>
    </row>
    <row r="20" spans="1:24" x14ac:dyDescent="0.3">
      <c r="A20" s="34" t="s">
        <v>138</v>
      </c>
      <c r="B20" s="35">
        <v>45097</v>
      </c>
      <c r="C20" s="34" t="s">
        <v>36</v>
      </c>
      <c r="D20" s="34" t="s">
        <v>41</v>
      </c>
      <c r="E20" s="36">
        <v>58</v>
      </c>
      <c r="F20" s="34" t="s">
        <v>25</v>
      </c>
      <c r="G20" s="34" t="s">
        <v>26</v>
      </c>
      <c r="H20" s="34" t="s">
        <v>55</v>
      </c>
      <c r="I20" s="34">
        <v>30.7</v>
      </c>
      <c r="J20" s="36">
        <v>151800</v>
      </c>
      <c r="K20" s="36">
        <v>14600</v>
      </c>
      <c r="L20" s="34">
        <v>3.9</v>
      </c>
      <c r="M20" s="36">
        <v>21</v>
      </c>
      <c r="N20" s="36">
        <v>11</v>
      </c>
      <c r="O20" s="36">
        <v>10</v>
      </c>
      <c r="P20" s="34">
        <v>4</v>
      </c>
      <c r="Q20" s="34" t="s">
        <v>28</v>
      </c>
      <c r="R20" s="34" t="s">
        <v>28</v>
      </c>
      <c r="S20" s="34" t="s">
        <v>60</v>
      </c>
      <c r="T20" s="35">
        <v>46203</v>
      </c>
      <c r="U20" s="34">
        <v>2.8</v>
      </c>
      <c r="V20" s="34">
        <v>2.8</v>
      </c>
      <c r="W20" s="34" t="s">
        <v>407</v>
      </c>
      <c r="X20" s="34" t="s">
        <v>586</v>
      </c>
    </row>
    <row r="21" spans="1:24" x14ac:dyDescent="0.3">
      <c r="A21" s="34" t="s">
        <v>146</v>
      </c>
      <c r="B21" s="35">
        <v>45840</v>
      </c>
      <c r="C21" s="34" t="s">
        <v>32</v>
      </c>
      <c r="D21" s="34" t="s">
        <v>41</v>
      </c>
      <c r="E21" s="36">
        <v>41</v>
      </c>
      <c r="F21" s="34" t="s">
        <v>25</v>
      </c>
      <c r="G21" s="34" t="s">
        <v>51</v>
      </c>
      <c r="H21" s="34" t="s">
        <v>46</v>
      </c>
      <c r="I21" s="34">
        <v>23.5</v>
      </c>
      <c r="J21" s="36">
        <v>112500</v>
      </c>
      <c r="K21" s="36">
        <v>5500</v>
      </c>
      <c r="L21" s="34">
        <v>3.2</v>
      </c>
      <c r="M21" s="36">
        <v>32</v>
      </c>
      <c r="N21" s="36">
        <v>12</v>
      </c>
      <c r="O21" s="36">
        <v>9</v>
      </c>
      <c r="P21" s="34">
        <v>3.8</v>
      </c>
      <c r="Q21" s="34" t="s">
        <v>28</v>
      </c>
      <c r="R21" s="34" t="s">
        <v>28</v>
      </c>
      <c r="S21" s="34" t="s">
        <v>38</v>
      </c>
      <c r="T21" s="35">
        <v>46203</v>
      </c>
      <c r="U21" s="34">
        <v>3</v>
      </c>
      <c r="V21" s="34">
        <v>3.6</v>
      </c>
      <c r="W21" s="34" t="s">
        <v>407</v>
      </c>
      <c r="X21" s="34" t="s">
        <v>587</v>
      </c>
    </row>
    <row r="22" spans="1:24" x14ac:dyDescent="0.3">
      <c r="A22" s="34" t="s">
        <v>150</v>
      </c>
      <c r="B22" s="35">
        <v>46012</v>
      </c>
      <c r="C22" s="34" t="s">
        <v>54</v>
      </c>
      <c r="D22" s="34" t="s">
        <v>41</v>
      </c>
      <c r="E22" s="36">
        <v>59</v>
      </c>
      <c r="F22" s="34" t="s">
        <v>25</v>
      </c>
      <c r="G22" s="34" t="s">
        <v>51</v>
      </c>
      <c r="H22" s="34" t="s">
        <v>63</v>
      </c>
      <c r="I22" s="34">
        <v>35</v>
      </c>
      <c r="J22" s="36">
        <v>149700</v>
      </c>
      <c r="K22" s="36">
        <v>11200</v>
      </c>
      <c r="L22" s="34">
        <v>1.7</v>
      </c>
      <c r="M22" s="36">
        <v>26</v>
      </c>
      <c r="N22" s="36">
        <v>15</v>
      </c>
      <c r="O22" s="36">
        <v>22</v>
      </c>
      <c r="P22" s="34">
        <v>2</v>
      </c>
      <c r="Q22" s="34" t="s">
        <v>29</v>
      </c>
      <c r="R22" s="34" t="s">
        <v>28</v>
      </c>
      <c r="S22" s="34" t="s">
        <v>34</v>
      </c>
      <c r="T22" s="35">
        <v>46203</v>
      </c>
      <c r="U22" s="34">
        <v>2.9</v>
      </c>
      <c r="V22" s="34">
        <v>2.7</v>
      </c>
      <c r="W22" s="34" t="s">
        <v>407</v>
      </c>
      <c r="X22" s="34" t="s">
        <v>588</v>
      </c>
    </row>
    <row r="23" spans="1:24" x14ac:dyDescent="0.3">
      <c r="A23" s="34" t="s">
        <v>154</v>
      </c>
      <c r="B23" s="35">
        <v>45989</v>
      </c>
      <c r="C23" s="34" t="s">
        <v>23</v>
      </c>
      <c r="D23" s="34" t="s">
        <v>41</v>
      </c>
      <c r="E23" s="36">
        <v>25</v>
      </c>
      <c r="F23" s="34" t="s">
        <v>25</v>
      </c>
      <c r="G23" s="34" t="s">
        <v>51</v>
      </c>
      <c r="H23" s="34" t="s">
        <v>55</v>
      </c>
      <c r="I23" s="34">
        <v>0</v>
      </c>
      <c r="J23" s="36">
        <v>25000</v>
      </c>
      <c r="K23" s="36">
        <v>700</v>
      </c>
      <c r="L23" s="34">
        <v>2.7</v>
      </c>
      <c r="M23" s="36">
        <v>29</v>
      </c>
      <c r="N23" s="36">
        <v>10</v>
      </c>
      <c r="O23" s="36">
        <v>12</v>
      </c>
      <c r="P23" s="34">
        <v>4.8</v>
      </c>
      <c r="Q23" s="34" t="s">
        <v>28</v>
      </c>
      <c r="R23" s="34" t="s">
        <v>28</v>
      </c>
      <c r="S23" s="34" t="s">
        <v>38</v>
      </c>
      <c r="T23" s="35">
        <v>46203</v>
      </c>
      <c r="U23" s="34">
        <v>4</v>
      </c>
      <c r="V23" s="34">
        <v>4.2</v>
      </c>
      <c r="W23" s="34" t="s">
        <v>403</v>
      </c>
      <c r="X23" s="34" t="s">
        <v>589</v>
      </c>
    </row>
    <row r="24" spans="1:24" x14ac:dyDescent="0.3">
      <c r="A24" s="34" t="s">
        <v>157</v>
      </c>
      <c r="B24" s="35">
        <v>45363</v>
      </c>
      <c r="C24" s="34" t="s">
        <v>48</v>
      </c>
      <c r="D24" s="34" t="s">
        <v>24</v>
      </c>
      <c r="E24" s="36">
        <v>36</v>
      </c>
      <c r="F24" s="34" t="s">
        <v>25</v>
      </c>
      <c r="G24" s="34" t="s">
        <v>26</v>
      </c>
      <c r="H24" s="34" t="s">
        <v>46</v>
      </c>
      <c r="I24" s="34">
        <v>8.8000000000000007</v>
      </c>
      <c r="J24" s="36">
        <v>77700</v>
      </c>
      <c r="K24" s="36">
        <v>9300</v>
      </c>
      <c r="L24" s="34">
        <v>3.5</v>
      </c>
      <c r="M24" s="36">
        <v>14</v>
      </c>
      <c r="N24" s="36">
        <v>6</v>
      </c>
      <c r="O24" s="36">
        <v>11</v>
      </c>
      <c r="P24" s="34">
        <v>4</v>
      </c>
      <c r="Q24" s="34" t="s">
        <v>28</v>
      </c>
      <c r="R24" s="34" t="s">
        <v>28</v>
      </c>
      <c r="S24" s="34" t="s">
        <v>30</v>
      </c>
      <c r="T24" s="35">
        <v>46203</v>
      </c>
      <c r="U24" s="34">
        <v>1.6</v>
      </c>
      <c r="V24" s="34">
        <v>1.8</v>
      </c>
      <c r="W24" s="34" t="s">
        <v>407</v>
      </c>
      <c r="X24" s="34" t="s">
        <v>590</v>
      </c>
    </row>
    <row r="25" spans="1:24" x14ac:dyDescent="0.3">
      <c r="A25" s="34" t="s">
        <v>160</v>
      </c>
      <c r="B25" s="35">
        <v>45950</v>
      </c>
      <c r="C25" s="34" t="s">
        <v>48</v>
      </c>
      <c r="D25" s="34" t="s">
        <v>24</v>
      </c>
      <c r="E25" s="36">
        <v>47</v>
      </c>
      <c r="F25" s="34" t="s">
        <v>25</v>
      </c>
      <c r="G25" s="34" t="s">
        <v>26</v>
      </c>
      <c r="H25" s="34" t="s">
        <v>27</v>
      </c>
      <c r="I25" s="34">
        <v>26.9</v>
      </c>
      <c r="J25" s="36">
        <v>140100</v>
      </c>
      <c r="K25" s="36">
        <v>4000</v>
      </c>
      <c r="L25" s="34">
        <v>3.8</v>
      </c>
      <c r="M25" s="36">
        <v>34</v>
      </c>
      <c r="N25" s="36">
        <v>6</v>
      </c>
      <c r="O25" s="36">
        <v>10</v>
      </c>
      <c r="P25" s="34">
        <v>4.4000000000000004</v>
      </c>
      <c r="Q25" s="34" t="s">
        <v>28</v>
      </c>
      <c r="R25" s="34" t="s">
        <v>28</v>
      </c>
      <c r="S25" s="34" t="s">
        <v>60</v>
      </c>
      <c r="T25" s="35">
        <v>46203</v>
      </c>
      <c r="U25" s="34">
        <v>3.2</v>
      </c>
      <c r="V25" s="34">
        <v>3.3</v>
      </c>
      <c r="W25" s="34" t="s">
        <v>407</v>
      </c>
      <c r="X25" s="34" t="s">
        <v>591</v>
      </c>
    </row>
    <row r="26" spans="1:24" x14ac:dyDescent="0.3">
      <c r="A26" s="34" t="s">
        <v>162</v>
      </c>
      <c r="B26" s="35">
        <v>45361</v>
      </c>
      <c r="C26" s="34" t="s">
        <v>48</v>
      </c>
      <c r="D26" s="34" t="s">
        <v>24</v>
      </c>
      <c r="E26" s="36">
        <v>47</v>
      </c>
      <c r="F26" s="34" t="s">
        <v>25</v>
      </c>
      <c r="G26" s="34" t="s">
        <v>33</v>
      </c>
      <c r="H26" s="34" t="s">
        <v>52</v>
      </c>
      <c r="I26" s="34">
        <v>24.3</v>
      </c>
      <c r="J26" s="36">
        <v>137500</v>
      </c>
      <c r="K26" s="36">
        <v>12000</v>
      </c>
      <c r="L26" s="34">
        <v>4.7</v>
      </c>
      <c r="M26" s="36">
        <v>34</v>
      </c>
      <c r="N26" s="36">
        <v>11</v>
      </c>
      <c r="O26" s="36">
        <v>19</v>
      </c>
      <c r="P26" s="34">
        <v>4.3</v>
      </c>
      <c r="Q26" s="34" t="s">
        <v>28</v>
      </c>
      <c r="R26" s="34" t="s">
        <v>29</v>
      </c>
      <c r="S26" s="34" t="s">
        <v>60</v>
      </c>
      <c r="T26" s="35">
        <v>46203</v>
      </c>
      <c r="U26" s="34">
        <v>3.2</v>
      </c>
      <c r="V26" s="34">
        <v>3.3</v>
      </c>
      <c r="W26" s="34" t="s">
        <v>407</v>
      </c>
      <c r="X26" s="34" t="s">
        <v>592</v>
      </c>
    </row>
    <row r="27" spans="1:24" x14ac:dyDescent="0.3">
      <c r="A27" s="34" t="s">
        <v>164</v>
      </c>
      <c r="B27" s="35">
        <v>45846</v>
      </c>
      <c r="C27" s="34" t="s">
        <v>36</v>
      </c>
      <c r="D27" s="34" t="s">
        <v>24</v>
      </c>
      <c r="E27" s="36">
        <v>45</v>
      </c>
      <c r="F27" s="34" t="s">
        <v>25</v>
      </c>
      <c r="G27" s="34" t="s">
        <v>26</v>
      </c>
      <c r="H27" s="34" t="s">
        <v>46</v>
      </c>
      <c r="I27" s="34">
        <v>20.8</v>
      </c>
      <c r="J27" s="36">
        <v>115600</v>
      </c>
      <c r="K27" s="36">
        <v>3900</v>
      </c>
      <c r="L27" s="34">
        <v>3.6</v>
      </c>
      <c r="M27" s="36">
        <v>12</v>
      </c>
      <c r="N27" s="36">
        <v>12</v>
      </c>
      <c r="O27" s="36">
        <v>18</v>
      </c>
      <c r="P27" s="34">
        <v>4.5</v>
      </c>
      <c r="Q27" s="34" t="s">
        <v>29</v>
      </c>
      <c r="R27" s="34" t="s">
        <v>28</v>
      </c>
      <c r="S27" s="34" t="s">
        <v>34</v>
      </c>
      <c r="T27" s="35">
        <v>46203</v>
      </c>
      <c r="U27" s="34">
        <v>3.2</v>
      </c>
      <c r="V27" s="34">
        <v>3.4</v>
      </c>
      <c r="W27" s="34" t="s">
        <v>407</v>
      </c>
      <c r="X27" s="34" t="s">
        <v>593</v>
      </c>
    </row>
    <row r="28" spans="1:24" x14ac:dyDescent="0.3">
      <c r="A28" s="34" t="s">
        <v>165</v>
      </c>
      <c r="B28" s="35">
        <v>45900</v>
      </c>
      <c r="C28" s="34" t="s">
        <v>23</v>
      </c>
      <c r="D28" s="34" t="s">
        <v>24</v>
      </c>
      <c r="E28" s="36">
        <v>42</v>
      </c>
      <c r="F28" s="34" t="s">
        <v>25</v>
      </c>
      <c r="G28" s="34" t="s">
        <v>51</v>
      </c>
      <c r="H28" s="34" t="s">
        <v>46</v>
      </c>
      <c r="I28" s="34">
        <v>18.3</v>
      </c>
      <c r="J28" s="36">
        <v>96300</v>
      </c>
      <c r="K28" s="36">
        <v>3700</v>
      </c>
      <c r="L28" s="34">
        <v>3.2</v>
      </c>
      <c r="M28" s="36">
        <v>18</v>
      </c>
      <c r="N28" s="36">
        <v>13</v>
      </c>
      <c r="O28" s="36">
        <v>25</v>
      </c>
      <c r="P28" s="34">
        <v>3.6</v>
      </c>
      <c r="Q28" s="34" t="s">
        <v>28</v>
      </c>
      <c r="R28" s="34" t="s">
        <v>28</v>
      </c>
      <c r="S28" s="34" t="s">
        <v>43</v>
      </c>
      <c r="T28" s="35">
        <v>46203</v>
      </c>
      <c r="U28" s="34">
        <v>3.7</v>
      </c>
      <c r="V28" s="34">
        <v>4.2</v>
      </c>
      <c r="W28" s="34" t="s">
        <v>407</v>
      </c>
      <c r="X28" s="34" t="s">
        <v>594</v>
      </c>
    </row>
    <row r="29" spans="1:24" x14ac:dyDescent="0.3">
      <c r="A29" s="34" t="s">
        <v>166</v>
      </c>
      <c r="B29" s="35">
        <v>45891</v>
      </c>
      <c r="C29" s="34" t="s">
        <v>54</v>
      </c>
      <c r="D29" s="34" t="s">
        <v>41</v>
      </c>
      <c r="E29" s="36">
        <v>54</v>
      </c>
      <c r="F29" s="34" t="s">
        <v>25</v>
      </c>
      <c r="G29" s="34" t="s">
        <v>26</v>
      </c>
      <c r="H29" s="34" t="s">
        <v>55</v>
      </c>
      <c r="I29" s="34">
        <v>31.6</v>
      </c>
      <c r="J29" s="36">
        <v>152400</v>
      </c>
      <c r="K29" s="36">
        <v>18100</v>
      </c>
      <c r="L29" s="34">
        <v>1.9</v>
      </c>
      <c r="M29" s="36">
        <v>19</v>
      </c>
      <c r="N29" s="36">
        <v>10</v>
      </c>
      <c r="O29" s="36">
        <v>7</v>
      </c>
      <c r="P29" s="34">
        <v>2.8</v>
      </c>
      <c r="Q29" s="34" t="s">
        <v>28</v>
      </c>
      <c r="R29" s="34" t="s">
        <v>28</v>
      </c>
      <c r="S29" s="34" t="s">
        <v>30</v>
      </c>
      <c r="T29" s="35">
        <v>46203</v>
      </c>
      <c r="U29" s="34">
        <v>3.3</v>
      </c>
      <c r="V29" s="34">
        <v>3.3</v>
      </c>
      <c r="W29" s="34" t="s">
        <v>407</v>
      </c>
      <c r="X29" s="34" t="s">
        <v>595</v>
      </c>
    </row>
    <row r="30" spans="1:24" x14ac:dyDescent="0.3">
      <c r="A30" s="34" t="s">
        <v>168</v>
      </c>
      <c r="B30" s="35">
        <v>45873</v>
      </c>
      <c r="C30" s="34" t="s">
        <v>23</v>
      </c>
      <c r="D30" s="34" t="s">
        <v>24</v>
      </c>
      <c r="E30" s="36">
        <v>40</v>
      </c>
      <c r="F30" s="34" t="s">
        <v>25</v>
      </c>
      <c r="G30" s="34" t="s">
        <v>26</v>
      </c>
      <c r="H30" s="34" t="s">
        <v>63</v>
      </c>
      <c r="I30" s="34">
        <v>20.7</v>
      </c>
      <c r="J30" s="36">
        <v>100800</v>
      </c>
      <c r="K30" s="36">
        <v>3800</v>
      </c>
      <c r="L30" s="34">
        <v>3.8</v>
      </c>
      <c r="M30" s="36">
        <v>24</v>
      </c>
      <c r="N30" s="36">
        <v>8</v>
      </c>
      <c r="O30" s="36">
        <v>3</v>
      </c>
      <c r="P30" s="34">
        <v>3.6</v>
      </c>
      <c r="Q30" s="34" t="s">
        <v>28</v>
      </c>
      <c r="R30" s="34" t="s">
        <v>28</v>
      </c>
      <c r="S30" s="34" t="s">
        <v>60</v>
      </c>
      <c r="T30" s="35">
        <v>46203</v>
      </c>
      <c r="U30" s="34">
        <v>3.7</v>
      </c>
      <c r="V30" s="34">
        <v>4.4000000000000004</v>
      </c>
      <c r="W30" s="34" t="s">
        <v>407</v>
      </c>
      <c r="X30" s="34" t="s">
        <v>596</v>
      </c>
    </row>
    <row r="31" spans="1:24" x14ac:dyDescent="0.3">
      <c r="A31" s="34" t="s">
        <v>173</v>
      </c>
      <c r="B31" s="35">
        <v>45209</v>
      </c>
      <c r="C31" s="34" t="s">
        <v>48</v>
      </c>
      <c r="D31" s="34" t="s">
        <v>24</v>
      </c>
      <c r="E31" s="36">
        <v>38</v>
      </c>
      <c r="F31" s="34" t="s">
        <v>25</v>
      </c>
      <c r="G31" s="34" t="s">
        <v>26</v>
      </c>
      <c r="H31" s="34" t="s">
        <v>37</v>
      </c>
      <c r="I31" s="34">
        <v>19.7</v>
      </c>
      <c r="J31" s="36">
        <v>110800</v>
      </c>
      <c r="K31" s="36">
        <v>7800</v>
      </c>
      <c r="L31" s="34">
        <v>4.2</v>
      </c>
      <c r="M31" s="36">
        <v>7</v>
      </c>
      <c r="N31" s="36">
        <v>13</v>
      </c>
      <c r="O31" s="36">
        <v>0</v>
      </c>
      <c r="P31" s="34">
        <v>4.9000000000000004</v>
      </c>
      <c r="Q31" s="34" t="s">
        <v>28</v>
      </c>
      <c r="R31" s="34" t="s">
        <v>29</v>
      </c>
      <c r="S31" s="34" t="s">
        <v>38</v>
      </c>
      <c r="T31" s="35">
        <v>46203</v>
      </c>
      <c r="U31" s="34">
        <v>3</v>
      </c>
      <c r="V31" s="34">
        <v>3.5</v>
      </c>
      <c r="W31" s="34" t="s">
        <v>407</v>
      </c>
      <c r="X31" s="34" t="s">
        <v>597</v>
      </c>
    </row>
    <row r="32" spans="1:24" x14ac:dyDescent="0.3">
      <c r="A32" s="34" t="s">
        <v>182</v>
      </c>
      <c r="B32" s="35">
        <v>45387</v>
      </c>
      <c r="C32" s="34" t="s">
        <v>36</v>
      </c>
      <c r="D32" s="34" t="s">
        <v>24</v>
      </c>
      <c r="E32" s="36">
        <v>58</v>
      </c>
      <c r="F32" s="34" t="s">
        <v>25</v>
      </c>
      <c r="G32" s="34" t="s">
        <v>33</v>
      </c>
      <c r="H32" s="34" t="s">
        <v>52</v>
      </c>
      <c r="I32" s="34">
        <v>35</v>
      </c>
      <c r="J32" s="36">
        <v>169700</v>
      </c>
      <c r="K32" s="36">
        <v>9100</v>
      </c>
      <c r="L32" s="34">
        <v>3.8</v>
      </c>
      <c r="M32" s="36">
        <v>32</v>
      </c>
      <c r="N32" s="36">
        <v>4</v>
      </c>
      <c r="O32" s="36">
        <v>12</v>
      </c>
      <c r="P32" s="34">
        <v>5</v>
      </c>
      <c r="Q32" s="34" t="s">
        <v>28</v>
      </c>
      <c r="R32" s="34" t="s">
        <v>28</v>
      </c>
      <c r="S32" s="34" t="s">
        <v>34</v>
      </c>
      <c r="T32" s="35">
        <v>46203</v>
      </c>
      <c r="U32" s="34">
        <v>3.7</v>
      </c>
      <c r="V32" s="34">
        <v>4</v>
      </c>
      <c r="W32" s="34" t="s">
        <v>407</v>
      </c>
      <c r="X32" s="34" t="s">
        <v>598</v>
      </c>
    </row>
    <row r="33" spans="1:24" x14ac:dyDescent="0.3">
      <c r="A33" s="34" t="s">
        <v>183</v>
      </c>
      <c r="B33" s="35">
        <v>45723</v>
      </c>
      <c r="C33" s="34" t="s">
        <v>36</v>
      </c>
      <c r="D33" s="34" t="s">
        <v>41</v>
      </c>
      <c r="E33" s="36">
        <v>25</v>
      </c>
      <c r="F33" s="34" t="s">
        <v>25</v>
      </c>
      <c r="G33" s="34" t="s">
        <v>51</v>
      </c>
      <c r="H33" s="34" t="s">
        <v>55</v>
      </c>
      <c r="I33" s="34">
        <v>0</v>
      </c>
      <c r="J33" s="36">
        <v>26700</v>
      </c>
      <c r="K33" s="36">
        <v>2300</v>
      </c>
      <c r="L33" s="34">
        <v>3.3</v>
      </c>
      <c r="M33" s="36">
        <v>11</v>
      </c>
      <c r="N33" s="36">
        <v>10</v>
      </c>
      <c r="O33" s="36">
        <v>21</v>
      </c>
      <c r="P33" s="34">
        <v>3.2</v>
      </c>
      <c r="Q33" s="34" t="s">
        <v>28</v>
      </c>
      <c r="R33" s="34" t="s">
        <v>28</v>
      </c>
      <c r="S33" s="34" t="s">
        <v>38</v>
      </c>
      <c r="T33" s="35">
        <v>46203</v>
      </c>
      <c r="U33" s="34">
        <v>2.9</v>
      </c>
      <c r="V33" s="34">
        <v>3.1</v>
      </c>
      <c r="W33" s="34" t="s">
        <v>403</v>
      </c>
      <c r="X33" s="34" t="s">
        <v>599</v>
      </c>
    </row>
    <row r="34" spans="1:24" x14ac:dyDescent="0.3">
      <c r="A34" s="34" t="s">
        <v>184</v>
      </c>
      <c r="B34" s="35">
        <v>45916</v>
      </c>
      <c r="C34" s="34" t="s">
        <v>36</v>
      </c>
      <c r="D34" s="34" t="s">
        <v>24</v>
      </c>
      <c r="E34" s="36">
        <v>36</v>
      </c>
      <c r="F34" s="34" t="s">
        <v>25</v>
      </c>
      <c r="G34" s="34" t="s">
        <v>33</v>
      </c>
      <c r="H34" s="34" t="s">
        <v>46</v>
      </c>
      <c r="I34" s="34">
        <v>11.3</v>
      </c>
      <c r="J34" s="36">
        <v>89800</v>
      </c>
      <c r="K34" s="36">
        <v>4300</v>
      </c>
      <c r="L34" s="34">
        <v>3.7</v>
      </c>
      <c r="M34" s="36">
        <v>20</v>
      </c>
      <c r="N34" s="36">
        <v>18</v>
      </c>
      <c r="O34" s="36">
        <v>12</v>
      </c>
      <c r="P34" s="34">
        <v>4.0999999999999996</v>
      </c>
      <c r="Q34" s="34" t="s">
        <v>28</v>
      </c>
      <c r="R34" s="34" t="s">
        <v>28</v>
      </c>
      <c r="S34" s="34" t="s">
        <v>38</v>
      </c>
      <c r="T34" s="35">
        <v>46203</v>
      </c>
      <c r="U34" s="34">
        <v>3.2</v>
      </c>
      <c r="V34" s="34">
        <v>3.4</v>
      </c>
      <c r="W34" s="34" t="s">
        <v>407</v>
      </c>
      <c r="X34" s="34" t="s">
        <v>600</v>
      </c>
    </row>
    <row r="35" spans="1:24" x14ac:dyDescent="0.3">
      <c r="A35" s="34" t="s">
        <v>187</v>
      </c>
      <c r="B35" s="35">
        <v>45908</v>
      </c>
      <c r="C35" s="34" t="s">
        <v>40</v>
      </c>
      <c r="D35" s="34" t="s">
        <v>24</v>
      </c>
      <c r="E35" s="36">
        <v>55</v>
      </c>
      <c r="F35" s="34" t="s">
        <v>25</v>
      </c>
      <c r="G35" s="34" t="s">
        <v>51</v>
      </c>
      <c r="H35" s="34" t="s">
        <v>27</v>
      </c>
      <c r="I35" s="34">
        <v>33.700000000000003</v>
      </c>
      <c r="J35" s="36">
        <v>148500</v>
      </c>
      <c r="K35" s="36">
        <v>14000</v>
      </c>
      <c r="L35" s="34">
        <v>3.9</v>
      </c>
      <c r="M35" s="36">
        <v>36</v>
      </c>
      <c r="N35" s="36">
        <v>12</v>
      </c>
      <c r="O35" s="36">
        <v>28</v>
      </c>
      <c r="P35" s="34">
        <v>4.7</v>
      </c>
      <c r="Q35" s="34" t="s">
        <v>29</v>
      </c>
      <c r="R35" s="34" t="s">
        <v>28</v>
      </c>
      <c r="S35" s="34" t="s">
        <v>43</v>
      </c>
      <c r="T35" s="35">
        <v>46203</v>
      </c>
      <c r="U35" s="34">
        <v>4.9000000000000004</v>
      </c>
      <c r="V35" s="34">
        <v>5</v>
      </c>
      <c r="W35" s="34" t="s">
        <v>407</v>
      </c>
      <c r="X35" s="34" t="s">
        <v>601</v>
      </c>
    </row>
    <row r="36" spans="1:24" x14ac:dyDescent="0.3">
      <c r="A36" s="34" t="s">
        <v>191</v>
      </c>
      <c r="B36" s="35">
        <v>45633</v>
      </c>
      <c r="C36" s="34" t="s">
        <v>32</v>
      </c>
      <c r="D36" s="34" t="s">
        <v>24</v>
      </c>
      <c r="E36" s="36">
        <v>49</v>
      </c>
      <c r="F36" s="34" t="s">
        <v>25</v>
      </c>
      <c r="G36" s="34" t="s">
        <v>33</v>
      </c>
      <c r="H36" s="34" t="s">
        <v>55</v>
      </c>
      <c r="I36" s="34">
        <v>28.8</v>
      </c>
      <c r="J36" s="36">
        <v>145400</v>
      </c>
      <c r="K36" s="36">
        <v>14300</v>
      </c>
      <c r="L36" s="34">
        <v>3.4</v>
      </c>
      <c r="M36" s="36">
        <v>7</v>
      </c>
      <c r="N36" s="36">
        <v>16</v>
      </c>
      <c r="O36" s="36">
        <v>21</v>
      </c>
      <c r="P36" s="34">
        <v>4.0999999999999996</v>
      </c>
      <c r="Q36" s="34" t="s">
        <v>29</v>
      </c>
      <c r="R36" s="34" t="s">
        <v>28</v>
      </c>
      <c r="S36" s="34" t="s">
        <v>34</v>
      </c>
      <c r="T36" s="35">
        <v>46203</v>
      </c>
      <c r="U36" s="34">
        <v>4.0999999999999996</v>
      </c>
      <c r="V36" s="34">
        <v>3.9</v>
      </c>
      <c r="W36" s="34" t="s">
        <v>407</v>
      </c>
      <c r="X36" s="34" t="s">
        <v>602</v>
      </c>
    </row>
    <row r="37" spans="1:24" x14ac:dyDescent="0.3">
      <c r="A37" s="34" t="s">
        <v>192</v>
      </c>
      <c r="B37" s="35">
        <v>46014</v>
      </c>
      <c r="C37" s="34" t="s">
        <v>54</v>
      </c>
      <c r="D37" s="34" t="s">
        <v>41</v>
      </c>
      <c r="E37" s="36">
        <v>59</v>
      </c>
      <c r="F37" s="34" t="s">
        <v>25</v>
      </c>
      <c r="G37" s="34" t="s">
        <v>33</v>
      </c>
      <c r="H37" s="34" t="s">
        <v>46</v>
      </c>
      <c r="I37" s="34">
        <v>35</v>
      </c>
      <c r="J37" s="36">
        <v>159400</v>
      </c>
      <c r="K37" s="36">
        <v>8300</v>
      </c>
      <c r="L37" s="34">
        <v>3.8</v>
      </c>
      <c r="M37" s="36">
        <v>10</v>
      </c>
      <c r="N37" s="36">
        <v>13</v>
      </c>
      <c r="O37" s="36">
        <v>9</v>
      </c>
      <c r="P37" s="34">
        <v>3.2</v>
      </c>
      <c r="Q37" s="34" t="s">
        <v>28</v>
      </c>
      <c r="R37" s="34" t="s">
        <v>28</v>
      </c>
      <c r="S37" s="34" t="s">
        <v>43</v>
      </c>
      <c r="T37" s="35">
        <v>46203</v>
      </c>
      <c r="U37" s="34">
        <v>3.7</v>
      </c>
      <c r="V37" s="34">
        <v>3.9</v>
      </c>
      <c r="W37" s="34" t="s">
        <v>407</v>
      </c>
      <c r="X37" s="34" t="s">
        <v>603</v>
      </c>
    </row>
    <row r="38" spans="1:24" x14ac:dyDescent="0.3">
      <c r="A38" s="34" t="s">
        <v>194</v>
      </c>
      <c r="B38" s="35">
        <v>45984</v>
      </c>
      <c r="C38" s="34" t="s">
        <v>36</v>
      </c>
      <c r="D38" s="34" t="s">
        <v>41</v>
      </c>
      <c r="E38" s="36">
        <v>37</v>
      </c>
      <c r="F38" s="34" t="s">
        <v>25</v>
      </c>
      <c r="G38" s="34" t="s">
        <v>26</v>
      </c>
      <c r="H38" s="34" t="s">
        <v>63</v>
      </c>
      <c r="I38" s="34">
        <v>10.5</v>
      </c>
      <c r="J38" s="36">
        <v>69000</v>
      </c>
      <c r="K38" s="36">
        <v>3200</v>
      </c>
      <c r="L38" s="34">
        <v>4.2</v>
      </c>
      <c r="M38" s="36">
        <v>29</v>
      </c>
      <c r="N38" s="36">
        <v>20</v>
      </c>
      <c r="O38" s="36">
        <v>24</v>
      </c>
      <c r="P38" s="34">
        <v>3.6</v>
      </c>
      <c r="Q38" s="34" t="s">
        <v>28</v>
      </c>
      <c r="R38" s="34" t="s">
        <v>29</v>
      </c>
      <c r="S38" s="34" t="s">
        <v>34</v>
      </c>
      <c r="T38" s="35">
        <v>46203</v>
      </c>
      <c r="U38" s="34">
        <v>3.2</v>
      </c>
      <c r="V38" s="34">
        <v>3.1</v>
      </c>
      <c r="W38" s="34" t="s">
        <v>407</v>
      </c>
      <c r="X38" s="34" t="s">
        <v>604</v>
      </c>
    </row>
    <row r="39" spans="1:24" x14ac:dyDescent="0.3">
      <c r="A39" s="34" t="s">
        <v>195</v>
      </c>
      <c r="B39" s="35">
        <v>45495</v>
      </c>
      <c r="C39" s="34" t="s">
        <v>23</v>
      </c>
      <c r="D39" s="34" t="s">
        <v>41</v>
      </c>
      <c r="E39" s="36">
        <v>57</v>
      </c>
      <c r="F39" s="34" t="s">
        <v>25</v>
      </c>
      <c r="G39" s="34" t="s">
        <v>26</v>
      </c>
      <c r="H39" s="34" t="s">
        <v>46</v>
      </c>
      <c r="I39" s="34">
        <v>30.4</v>
      </c>
      <c r="J39" s="36">
        <v>141600</v>
      </c>
      <c r="K39" s="36">
        <v>13400</v>
      </c>
      <c r="L39" s="34">
        <v>4.4000000000000004</v>
      </c>
      <c r="M39" s="36">
        <v>17</v>
      </c>
      <c r="N39" s="36">
        <v>14</v>
      </c>
      <c r="O39" s="36">
        <v>24</v>
      </c>
      <c r="P39" s="34">
        <v>2.2999999999999998</v>
      </c>
      <c r="Q39" s="34" t="s">
        <v>28</v>
      </c>
      <c r="R39" s="34" t="s">
        <v>29</v>
      </c>
      <c r="S39" s="34" t="s">
        <v>34</v>
      </c>
      <c r="T39" s="35">
        <v>46203</v>
      </c>
      <c r="U39" s="34">
        <v>3.7</v>
      </c>
      <c r="V39" s="34">
        <v>3.9</v>
      </c>
      <c r="W39" s="34" t="s">
        <v>407</v>
      </c>
      <c r="X39" s="34" t="s">
        <v>605</v>
      </c>
    </row>
    <row r="40" spans="1:24" x14ac:dyDescent="0.3">
      <c r="A40" s="34" t="s">
        <v>198</v>
      </c>
      <c r="B40" s="35">
        <v>45583</v>
      </c>
      <c r="C40" s="34" t="s">
        <v>36</v>
      </c>
      <c r="D40" s="34" t="s">
        <v>24</v>
      </c>
      <c r="E40" s="36">
        <v>49</v>
      </c>
      <c r="F40" s="34" t="s">
        <v>25</v>
      </c>
      <c r="G40" s="34" t="s">
        <v>26</v>
      </c>
      <c r="H40" s="34" t="s">
        <v>63</v>
      </c>
      <c r="I40" s="34">
        <v>23.3</v>
      </c>
      <c r="J40" s="36">
        <v>113600</v>
      </c>
      <c r="K40" s="36">
        <v>9500</v>
      </c>
      <c r="L40" s="34">
        <v>3.7</v>
      </c>
      <c r="M40" s="36">
        <v>37</v>
      </c>
      <c r="N40" s="36">
        <v>9</v>
      </c>
      <c r="O40" s="36">
        <v>6</v>
      </c>
      <c r="P40" s="34">
        <v>3</v>
      </c>
      <c r="Q40" s="34" t="s">
        <v>28</v>
      </c>
      <c r="R40" s="34" t="s">
        <v>28</v>
      </c>
      <c r="S40" s="34" t="s">
        <v>38</v>
      </c>
      <c r="T40" s="35">
        <v>46203</v>
      </c>
      <c r="U40" s="34">
        <v>2.2000000000000002</v>
      </c>
      <c r="V40" s="34">
        <v>2.9</v>
      </c>
      <c r="W40" s="34" t="s">
        <v>407</v>
      </c>
      <c r="X40" s="34" t="s">
        <v>606</v>
      </c>
    </row>
    <row r="41" spans="1:24" x14ac:dyDescent="0.3">
      <c r="A41" s="34" t="s">
        <v>201</v>
      </c>
      <c r="B41" s="35">
        <v>44985</v>
      </c>
      <c r="C41" s="34" t="s">
        <v>23</v>
      </c>
      <c r="D41" s="34" t="s">
        <v>24</v>
      </c>
      <c r="E41" s="36">
        <v>52</v>
      </c>
      <c r="F41" s="34" t="s">
        <v>25</v>
      </c>
      <c r="G41" s="34" t="s">
        <v>26</v>
      </c>
      <c r="H41" s="34" t="s">
        <v>46</v>
      </c>
      <c r="I41" s="34">
        <v>25.5</v>
      </c>
      <c r="J41" s="36">
        <v>121200</v>
      </c>
      <c r="K41" s="36">
        <v>12800</v>
      </c>
      <c r="L41" s="34">
        <v>3.6</v>
      </c>
      <c r="M41" s="36">
        <v>19</v>
      </c>
      <c r="N41" s="36">
        <v>12</v>
      </c>
      <c r="O41" s="36">
        <v>20</v>
      </c>
      <c r="P41" s="34">
        <v>3.6</v>
      </c>
      <c r="Q41" s="34" t="s">
        <v>28</v>
      </c>
      <c r="R41" s="34" t="s">
        <v>28</v>
      </c>
      <c r="S41" s="34" t="s">
        <v>30</v>
      </c>
      <c r="T41" s="35">
        <v>46203</v>
      </c>
      <c r="U41" s="34">
        <v>3.5</v>
      </c>
      <c r="V41" s="34">
        <v>3.7</v>
      </c>
      <c r="W41" s="34" t="s">
        <v>407</v>
      </c>
      <c r="X41" s="34" t="s">
        <v>607</v>
      </c>
    </row>
    <row r="42" spans="1:24" x14ac:dyDescent="0.3">
      <c r="A42" s="34" t="s">
        <v>206</v>
      </c>
      <c r="B42" s="35">
        <v>45848</v>
      </c>
      <c r="C42" s="34" t="s">
        <v>40</v>
      </c>
      <c r="D42" s="34" t="s">
        <v>24</v>
      </c>
      <c r="E42" s="36">
        <v>46</v>
      </c>
      <c r="F42" s="34" t="s">
        <v>25</v>
      </c>
      <c r="G42" s="34" t="s">
        <v>26</v>
      </c>
      <c r="H42" s="34" t="s">
        <v>63</v>
      </c>
      <c r="I42" s="34">
        <v>26.5</v>
      </c>
      <c r="J42" s="36">
        <v>120900</v>
      </c>
      <c r="K42" s="36">
        <v>10500</v>
      </c>
      <c r="L42" s="34">
        <v>2.9</v>
      </c>
      <c r="M42" s="36">
        <v>23</v>
      </c>
      <c r="N42" s="36">
        <v>18</v>
      </c>
      <c r="O42" s="36">
        <v>30</v>
      </c>
      <c r="P42" s="34">
        <v>4.0999999999999996</v>
      </c>
      <c r="Q42" s="34" t="s">
        <v>28</v>
      </c>
      <c r="R42" s="34" t="s">
        <v>28</v>
      </c>
      <c r="S42" s="34" t="s">
        <v>60</v>
      </c>
      <c r="T42" s="35">
        <v>46203</v>
      </c>
      <c r="U42" s="34">
        <v>4.2</v>
      </c>
      <c r="V42" s="34">
        <v>4.8</v>
      </c>
      <c r="W42" s="34" t="s">
        <v>407</v>
      </c>
      <c r="X42" s="34" t="s">
        <v>608</v>
      </c>
    </row>
    <row r="43" spans="1:24" x14ac:dyDescent="0.3">
      <c r="A43" s="34" t="s">
        <v>207</v>
      </c>
      <c r="B43" s="35">
        <v>45594</v>
      </c>
      <c r="C43" s="34" t="s">
        <v>40</v>
      </c>
      <c r="D43" s="34" t="s">
        <v>24</v>
      </c>
      <c r="E43" s="36">
        <v>45</v>
      </c>
      <c r="F43" s="34" t="s">
        <v>25</v>
      </c>
      <c r="G43" s="34" t="s">
        <v>42</v>
      </c>
      <c r="H43" s="34" t="s">
        <v>63</v>
      </c>
      <c r="I43" s="34">
        <v>22.9</v>
      </c>
      <c r="J43" s="36">
        <v>141800</v>
      </c>
      <c r="K43" s="36">
        <v>9400</v>
      </c>
      <c r="L43" s="34">
        <v>4.8</v>
      </c>
      <c r="M43" s="36">
        <v>28</v>
      </c>
      <c r="N43" s="36">
        <v>18</v>
      </c>
      <c r="O43" s="36">
        <v>24</v>
      </c>
      <c r="P43" s="34">
        <v>3.1</v>
      </c>
      <c r="Q43" s="34" t="s">
        <v>28</v>
      </c>
      <c r="R43" s="34" t="s">
        <v>29</v>
      </c>
      <c r="S43" s="34" t="s">
        <v>34</v>
      </c>
      <c r="T43" s="35">
        <v>46203</v>
      </c>
      <c r="U43" s="34">
        <v>4.5</v>
      </c>
      <c r="V43" s="34">
        <v>5</v>
      </c>
      <c r="W43" s="34" t="s">
        <v>407</v>
      </c>
      <c r="X43" s="34" t="s">
        <v>609</v>
      </c>
    </row>
    <row r="44" spans="1:24" x14ac:dyDescent="0.3">
      <c r="A44" s="34" t="s">
        <v>216</v>
      </c>
      <c r="B44" s="35">
        <v>45226</v>
      </c>
      <c r="C44" s="34" t="s">
        <v>40</v>
      </c>
      <c r="D44" s="34" t="s">
        <v>41</v>
      </c>
      <c r="E44" s="36">
        <v>26</v>
      </c>
      <c r="F44" s="34" t="s">
        <v>25</v>
      </c>
      <c r="G44" s="34" t="s">
        <v>51</v>
      </c>
      <c r="H44" s="34" t="s">
        <v>55</v>
      </c>
      <c r="I44" s="34">
        <v>6.6</v>
      </c>
      <c r="J44" s="36">
        <v>58500</v>
      </c>
      <c r="K44" s="36">
        <v>6300</v>
      </c>
      <c r="L44" s="34">
        <v>4.5999999999999996</v>
      </c>
      <c r="M44" s="36">
        <v>6</v>
      </c>
      <c r="N44" s="36">
        <v>12</v>
      </c>
      <c r="O44" s="36">
        <v>25</v>
      </c>
      <c r="P44" s="34">
        <v>3.6</v>
      </c>
      <c r="Q44" s="34" t="s">
        <v>28</v>
      </c>
      <c r="R44" s="34" t="s">
        <v>29</v>
      </c>
      <c r="S44" s="34" t="s">
        <v>38</v>
      </c>
      <c r="T44" s="35">
        <v>46203</v>
      </c>
      <c r="U44" s="34">
        <v>4.4000000000000004</v>
      </c>
      <c r="V44" s="34">
        <v>4.9000000000000004</v>
      </c>
      <c r="W44" s="34" t="s">
        <v>405</v>
      </c>
      <c r="X44" s="34" t="s">
        <v>610</v>
      </c>
    </row>
    <row r="45" spans="1:24" x14ac:dyDescent="0.3">
      <c r="A45" s="34" t="s">
        <v>223</v>
      </c>
      <c r="B45" s="35">
        <v>45674</v>
      </c>
      <c r="C45" s="34" t="s">
        <v>54</v>
      </c>
      <c r="D45" s="34" t="s">
        <v>41</v>
      </c>
      <c r="E45" s="36">
        <v>28</v>
      </c>
      <c r="F45" s="34" t="s">
        <v>25</v>
      </c>
      <c r="G45" s="34" t="s">
        <v>42</v>
      </c>
      <c r="H45" s="34" t="s">
        <v>52</v>
      </c>
      <c r="I45" s="34">
        <v>6.6</v>
      </c>
      <c r="J45" s="36">
        <v>89900</v>
      </c>
      <c r="K45" s="36">
        <v>3900</v>
      </c>
      <c r="L45" s="34">
        <v>3.8</v>
      </c>
      <c r="M45" s="36">
        <v>10</v>
      </c>
      <c r="N45" s="36">
        <v>10</v>
      </c>
      <c r="O45" s="36">
        <v>3</v>
      </c>
      <c r="P45" s="34">
        <v>3.7</v>
      </c>
      <c r="Q45" s="34" t="s">
        <v>28</v>
      </c>
      <c r="R45" s="34" t="s">
        <v>28</v>
      </c>
      <c r="S45" s="34" t="s">
        <v>43</v>
      </c>
      <c r="T45" s="35">
        <v>46203</v>
      </c>
      <c r="U45" s="34">
        <v>4.3</v>
      </c>
      <c r="V45" s="34">
        <v>4.7</v>
      </c>
      <c r="W45" s="34" t="s">
        <v>405</v>
      </c>
      <c r="X45" s="34" t="s">
        <v>611</v>
      </c>
    </row>
    <row r="46" spans="1:24" x14ac:dyDescent="0.3">
      <c r="A46" s="34" t="s">
        <v>227</v>
      </c>
      <c r="B46" s="35">
        <v>45073</v>
      </c>
      <c r="C46" s="34" t="s">
        <v>54</v>
      </c>
      <c r="D46" s="34" t="s">
        <v>41</v>
      </c>
      <c r="E46" s="36">
        <v>46</v>
      </c>
      <c r="F46" s="34" t="s">
        <v>25</v>
      </c>
      <c r="G46" s="34" t="s">
        <v>51</v>
      </c>
      <c r="H46" s="34" t="s">
        <v>37</v>
      </c>
      <c r="I46" s="34">
        <v>17.8</v>
      </c>
      <c r="J46" s="36">
        <v>94700</v>
      </c>
      <c r="K46" s="36">
        <v>3600</v>
      </c>
      <c r="L46" s="34">
        <v>3.9</v>
      </c>
      <c r="M46" s="36">
        <v>37</v>
      </c>
      <c r="N46" s="36">
        <v>9</v>
      </c>
      <c r="O46" s="36">
        <v>17</v>
      </c>
      <c r="P46" s="34">
        <v>3</v>
      </c>
      <c r="Q46" s="34" t="s">
        <v>28</v>
      </c>
      <c r="R46" s="34" t="s">
        <v>28</v>
      </c>
      <c r="S46" s="34" t="s">
        <v>30</v>
      </c>
      <c r="T46" s="35">
        <v>46203</v>
      </c>
      <c r="U46" s="34">
        <v>2.7</v>
      </c>
      <c r="V46" s="34">
        <v>2.6</v>
      </c>
      <c r="W46" s="34" t="s">
        <v>407</v>
      </c>
      <c r="X46" s="34" t="s">
        <v>612</v>
      </c>
    </row>
    <row r="47" spans="1:24" x14ac:dyDescent="0.3">
      <c r="A47" s="34" t="s">
        <v>235</v>
      </c>
      <c r="B47" s="35">
        <v>45246</v>
      </c>
      <c r="C47" s="34" t="s">
        <v>48</v>
      </c>
      <c r="D47" s="34" t="s">
        <v>41</v>
      </c>
      <c r="E47" s="36">
        <v>32</v>
      </c>
      <c r="F47" s="34" t="s">
        <v>25</v>
      </c>
      <c r="G47" s="34" t="s">
        <v>51</v>
      </c>
      <c r="H47" s="34" t="s">
        <v>63</v>
      </c>
      <c r="I47" s="34">
        <v>8.8000000000000007</v>
      </c>
      <c r="J47" s="36">
        <v>49600</v>
      </c>
      <c r="K47" s="36">
        <v>5900</v>
      </c>
      <c r="L47" s="34">
        <v>4</v>
      </c>
      <c r="M47" s="36">
        <v>30</v>
      </c>
      <c r="N47" s="36">
        <v>13</v>
      </c>
      <c r="O47" s="36">
        <v>28</v>
      </c>
      <c r="P47" s="34">
        <v>4.2</v>
      </c>
      <c r="Q47" s="34" t="s">
        <v>28</v>
      </c>
      <c r="R47" s="34" t="s">
        <v>29</v>
      </c>
      <c r="S47" s="34" t="s">
        <v>34</v>
      </c>
      <c r="T47" s="35">
        <v>46203</v>
      </c>
      <c r="U47" s="34">
        <v>3.5</v>
      </c>
      <c r="V47" s="34">
        <v>4.2</v>
      </c>
      <c r="W47" s="34" t="s">
        <v>407</v>
      </c>
      <c r="X47" s="34" t="s">
        <v>613</v>
      </c>
    </row>
    <row r="48" spans="1:24" x14ac:dyDescent="0.3">
      <c r="A48" s="34" t="s">
        <v>239</v>
      </c>
      <c r="B48" s="35">
        <v>45338</v>
      </c>
      <c r="C48" s="34" t="s">
        <v>54</v>
      </c>
      <c r="D48" s="34" t="s">
        <v>24</v>
      </c>
      <c r="E48" s="36">
        <v>41</v>
      </c>
      <c r="F48" s="34" t="s">
        <v>25</v>
      </c>
      <c r="G48" s="34" t="s">
        <v>51</v>
      </c>
      <c r="H48" s="34" t="s">
        <v>52</v>
      </c>
      <c r="I48" s="34">
        <v>17.3</v>
      </c>
      <c r="J48" s="36">
        <v>92000</v>
      </c>
      <c r="K48" s="36">
        <v>5600</v>
      </c>
      <c r="L48" s="34">
        <v>3.7</v>
      </c>
      <c r="M48" s="36">
        <v>22</v>
      </c>
      <c r="N48" s="36">
        <v>16</v>
      </c>
      <c r="O48" s="36">
        <v>1</v>
      </c>
      <c r="P48" s="34">
        <v>3.8</v>
      </c>
      <c r="Q48" s="34" t="s">
        <v>28</v>
      </c>
      <c r="R48" s="34" t="s">
        <v>28</v>
      </c>
      <c r="S48" s="34" t="s">
        <v>30</v>
      </c>
      <c r="T48" s="35">
        <v>46203</v>
      </c>
      <c r="U48" s="34">
        <v>4.4000000000000004</v>
      </c>
      <c r="V48" s="34">
        <v>4.8</v>
      </c>
      <c r="W48" s="34" t="s">
        <v>407</v>
      </c>
      <c r="X48" s="34" t="s">
        <v>614</v>
      </c>
    </row>
    <row r="49" spans="1:24" x14ac:dyDescent="0.3">
      <c r="A49" s="34" t="s">
        <v>244</v>
      </c>
      <c r="B49" s="35">
        <v>45399</v>
      </c>
      <c r="C49" s="34" t="s">
        <v>32</v>
      </c>
      <c r="D49" s="34" t="s">
        <v>41</v>
      </c>
      <c r="E49" s="36">
        <v>31</v>
      </c>
      <c r="F49" s="34" t="s">
        <v>25</v>
      </c>
      <c r="G49" s="34" t="s">
        <v>26</v>
      </c>
      <c r="H49" s="34" t="s">
        <v>46</v>
      </c>
      <c r="I49" s="34">
        <v>10.8</v>
      </c>
      <c r="J49" s="36">
        <v>75800</v>
      </c>
      <c r="K49" s="36">
        <v>8900</v>
      </c>
      <c r="L49" s="34">
        <v>4</v>
      </c>
      <c r="M49" s="36">
        <v>11</v>
      </c>
      <c r="N49" s="36">
        <v>13</v>
      </c>
      <c r="O49" s="36">
        <v>19</v>
      </c>
      <c r="P49" s="34">
        <v>1.2</v>
      </c>
      <c r="Q49" s="34" t="s">
        <v>28</v>
      </c>
      <c r="R49" s="34" t="s">
        <v>29</v>
      </c>
      <c r="S49" s="34" t="s">
        <v>30</v>
      </c>
      <c r="T49" s="35">
        <v>46203</v>
      </c>
      <c r="U49" s="34">
        <v>4.3</v>
      </c>
      <c r="V49" s="34">
        <v>5</v>
      </c>
      <c r="W49" s="34" t="s">
        <v>407</v>
      </c>
      <c r="X49" s="34" t="s">
        <v>615</v>
      </c>
    </row>
    <row r="50" spans="1:24" x14ac:dyDescent="0.3">
      <c r="A50" s="34" t="s">
        <v>246</v>
      </c>
      <c r="B50" s="35">
        <v>45729</v>
      </c>
      <c r="C50" s="34" t="s">
        <v>23</v>
      </c>
      <c r="D50" s="34" t="s">
        <v>41</v>
      </c>
      <c r="E50" s="36">
        <v>45</v>
      </c>
      <c r="F50" s="34" t="s">
        <v>25</v>
      </c>
      <c r="G50" s="34" t="s">
        <v>26</v>
      </c>
      <c r="H50" s="34" t="s">
        <v>46</v>
      </c>
      <c r="I50" s="34">
        <v>24.5</v>
      </c>
      <c r="J50" s="36">
        <v>138800</v>
      </c>
      <c r="K50" s="36">
        <v>13800</v>
      </c>
      <c r="L50" s="34">
        <v>2.8</v>
      </c>
      <c r="M50" s="36">
        <v>18</v>
      </c>
      <c r="N50" s="36">
        <v>9</v>
      </c>
      <c r="O50" s="36">
        <v>3</v>
      </c>
      <c r="P50" s="34">
        <v>2.9</v>
      </c>
      <c r="Q50" s="34" t="s">
        <v>28</v>
      </c>
      <c r="R50" s="34" t="s">
        <v>28</v>
      </c>
      <c r="S50" s="34" t="s">
        <v>38</v>
      </c>
      <c r="T50" s="35">
        <v>46203</v>
      </c>
      <c r="U50" s="34">
        <v>2.6</v>
      </c>
      <c r="V50" s="34">
        <v>3.2</v>
      </c>
      <c r="W50" s="34" t="s">
        <v>407</v>
      </c>
      <c r="X50" s="34" t="s">
        <v>616</v>
      </c>
    </row>
    <row r="51" spans="1:24" x14ac:dyDescent="0.3">
      <c r="A51" s="34" t="s">
        <v>249</v>
      </c>
      <c r="B51" s="35">
        <v>45157</v>
      </c>
      <c r="C51" s="34" t="s">
        <v>40</v>
      </c>
      <c r="D51" s="34" t="s">
        <v>41</v>
      </c>
      <c r="E51" s="36">
        <v>39</v>
      </c>
      <c r="F51" s="34" t="s">
        <v>25</v>
      </c>
      <c r="G51" s="34" t="s">
        <v>26</v>
      </c>
      <c r="H51" s="34" t="s">
        <v>46</v>
      </c>
      <c r="I51" s="34">
        <v>18.2</v>
      </c>
      <c r="J51" s="36">
        <v>107000</v>
      </c>
      <c r="K51" s="36">
        <v>2500</v>
      </c>
      <c r="L51" s="34">
        <v>3.6</v>
      </c>
      <c r="M51" s="36">
        <v>26</v>
      </c>
      <c r="N51" s="36">
        <v>11</v>
      </c>
      <c r="O51" s="36">
        <v>29</v>
      </c>
      <c r="P51" s="34">
        <v>3.5</v>
      </c>
      <c r="Q51" s="34" t="s">
        <v>28</v>
      </c>
      <c r="R51" s="34" t="s">
        <v>28</v>
      </c>
      <c r="S51" s="34" t="s">
        <v>60</v>
      </c>
      <c r="T51" s="35">
        <v>46203</v>
      </c>
      <c r="U51" s="34">
        <v>4.2</v>
      </c>
      <c r="V51" s="34">
        <v>4.2</v>
      </c>
      <c r="W51" s="34" t="s">
        <v>407</v>
      </c>
      <c r="X51" s="34" t="s">
        <v>617</v>
      </c>
    </row>
    <row r="52" spans="1:24" x14ac:dyDescent="0.3">
      <c r="A52" s="34" t="s">
        <v>251</v>
      </c>
      <c r="B52" s="35">
        <v>45279</v>
      </c>
      <c r="C52" s="34" t="s">
        <v>23</v>
      </c>
      <c r="D52" s="34" t="s">
        <v>24</v>
      </c>
      <c r="E52" s="36">
        <v>46</v>
      </c>
      <c r="F52" s="34" t="s">
        <v>25</v>
      </c>
      <c r="G52" s="34" t="s">
        <v>42</v>
      </c>
      <c r="H52" s="34" t="s">
        <v>46</v>
      </c>
      <c r="I52" s="34">
        <v>22</v>
      </c>
      <c r="J52" s="36">
        <v>145500</v>
      </c>
      <c r="K52" s="36">
        <v>5100</v>
      </c>
      <c r="L52" s="34">
        <v>3.2</v>
      </c>
      <c r="M52" s="36">
        <v>35</v>
      </c>
      <c r="N52" s="36">
        <v>6</v>
      </c>
      <c r="O52" s="36">
        <v>15</v>
      </c>
      <c r="P52" s="34">
        <v>3.1</v>
      </c>
      <c r="Q52" s="34" t="s">
        <v>28</v>
      </c>
      <c r="R52" s="34" t="s">
        <v>28</v>
      </c>
      <c r="S52" s="34" t="s">
        <v>43</v>
      </c>
      <c r="T52" s="35">
        <v>46203</v>
      </c>
      <c r="U52" s="34">
        <v>3.8</v>
      </c>
      <c r="V52" s="34">
        <v>4.0999999999999996</v>
      </c>
      <c r="W52" s="34" t="s">
        <v>407</v>
      </c>
      <c r="X52" s="34" t="s">
        <v>618</v>
      </c>
    </row>
    <row r="53" spans="1:24" x14ac:dyDescent="0.3">
      <c r="A53" s="34" t="s">
        <v>257</v>
      </c>
      <c r="B53" s="35">
        <v>45796</v>
      </c>
      <c r="C53" s="34" t="s">
        <v>36</v>
      </c>
      <c r="D53" s="34" t="s">
        <v>24</v>
      </c>
      <c r="E53" s="36">
        <v>57</v>
      </c>
      <c r="F53" s="34" t="s">
        <v>25</v>
      </c>
      <c r="G53" s="34" t="s">
        <v>51</v>
      </c>
      <c r="H53" s="34" t="s">
        <v>27</v>
      </c>
      <c r="I53" s="34">
        <v>33.299999999999997</v>
      </c>
      <c r="J53" s="36">
        <v>142100</v>
      </c>
      <c r="K53" s="36">
        <v>13500</v>
      </c>
      <c r="L53" s="34">
        <v>4.7</v>
      </c>
      <c r="M53" s="36">
        <v>33</v>
      </c>
      <c r="N53" s="36">
        <v>8</v>
      </c>
      <c r="O53" s="36">
        <v>9</v>
      </c>
      <c r="P53" s="34">
        <v>3.2</v>
      </c>
      <c r="Q53" s="34" t="s">
        <v>28</v>
      </c>
      <c r="R53" s="34" t="s">
        <v>29</v>
      </c>
      <c r="S53" s="34" t="s">
        <v>43</v>
      </c>
      <c r="T53" s="35">
        <v>46203</v>
      </c>
      <c r="U53" s="34">
        <v>2.4</v>
      </c>
      <c r="V53" s="34">
        <v>2.6</v>
      </c>
      <c r="W53" s="34" t="s">
        <v>407</v>
      </c>
      <c r="X53" s="34" t="s">
        <v>619</v>
      </c>
    </row>
    <row r="54" spans="1:24" x14ac:dyDescent="0.3">
      <c r="A54" s="34" t="s">
        <v>258</v>
      </c>
      <c r="B54" s="35">
        <v>45781</v>
      </c>
      <c r="C54" s="34" t="s">
        <v>48</v>
      </c>
      <c r="D54" s="34" t="s">
        <v>41</v>
      </c>
      <c r="E54" s="36">
        <v>60</v>
      </c>
      <c r="F54" s="34" t="s">
        <v>25</v>
      </c>
      <c r="G54" s="34" t="s">
        <v>26</v>
      </c>
      <c r="H54" s="34" t="s">
        <v>27</v>
      </c>
      <c r="I54" s="34">
        <v>32.700000000000003</v>
      </c>
      <c r="J54" s="36">
        <v>141000</v>
      </c>
      <c r="K54" s="36">
        <v>12200</v>
      </c>
      <c r="L54" s="34">
        <v>2.4</v>
      </c>
      <c r="M54" s="36">
        <v>7</v>
      </c>
      <c r="N54" s="36">
        <v>11</v>
      </c>
      <c r="O54" s="36">
        <v>25</v>
      </c>
      <c r="P54" s="34">
        <v>3.7</v>
      </c>
      <c r="Q54" s="34" t="s">
        <v>28</v>
      </c>
      <c r="R54" s="34" t="s">
        <v>28</v>
      </c>
      <c r="S54" s="34" t="s">
        <v>43</v>
      </c>
      <c r="T54" s="35">
        <v>46203</v>
      </c>
      <c r="U54" s="34">
        <v>3.3</v>
      </c>
      <c r="V54" s="34">
        <v>3.5</v>
      </c>
      <c r="W54" s="34" t="s">
        <v>407</v>
      </c>
      <c r="X54" s="34" t="s">
        <v>620</v>
      </c>
    </row>
    <row r="55" spans="1:24" x14ac:dyDescent="0.3">
      <c r="A55" s="34" t="s">
        <v>259</v>
      </c>
      <c r="B55" s="35">
        <v>45925</v>
      </c>
      <c r="C55" s="34" t="s">
        <v>36</v>
      </c>
      <c r="D55" s="34" t="s">
        <v>41</v>
      </c>
      <c r="E55" s="36">
        <v>31</v>
      </c>
      <c r="F55" s="34" t="s">
        <v>25</v>
      </c>
      <c r="G55" s="34" t="s">
        <v>51</v>
      </c>
      <c r="H55" s="34" t="s">
        <v>55</v>
      </c>
      <c r="I55" s="34">
        <v>11.2</v>
      </c>
      <c r="J55" s="36">
        <v>62000</v>
      </c>
      <c r="K55" s="36">
        <v>5500</v>
      </c>
      <c r="L55" s="34">
        <v>3.4</v>
      </c>
      <c r="M55" s="36">
        <v>8</v>
      </c>
      <c r="N55" s="36">
        <v>13</v>
      </c>
      <c r="O55" s="36">
        <v>8</v>
      </c>
      <c r="P55" s="34">
        <v>3.3</v>
      </c>
      <c r="Q55" s="34" t="s">
        <v>28</v>
      </c>
      <c r="R55" s="34" t="s">
        <v>28</v>
      </c>
      <c r="S55" s="34" t="s">
        <v>60</v>
      </c>
      <c r="T55" s="35">
        <v>46203</v>
      </c>
      <c r="U55" s="34">
        <v>3.8</v>
      </c>
      <c r="V55" s="34">
        <v>4.4000000000000004</v>
      </c>
      <c r="W55" s="34" t="s">
        <v>407</v>
      </c>
      <c r="X55" s="34" t="s">
        <v>621</v>
      </c>
    </row>
    <row r="56" spans="1:24" x14ac:dyDescent="0.3">
      <c r="A56" s="34" t="s">
        <v>262</v>
      </c>
      <c r="B56" s="35">
        <v>45611</v>
      </c>
      <c r="C56" s="34" t="s">
        <v>40</v>
      </c>
      <c r="D56" s="34" t="s">
        <v>24</v>
      </c>
      <c r="E56" s="36">
        <v>38</v>
      </c>
      <c r="F56" s="34" t="s">
        <v>25</v>
      </c>
      <c r="G56" s="34" t="s">
        <v>33</v>
      </c>
      <c r="H56" s="34" t="s">
        <v>27</v>
      </c>
      <c r="I56" s="34">
        <v>12.7</v>
      </c>
      <c r="J56" s="36">
        <v>96000</v>
      </c>
      <c r="K56" s="36">
        <v>11200</v>
      </c>
      <c r="L56" s="34">
        <v>3.8</v>
      </c>
      <c r="M56" s="36">
        <v>36</v>
      </c>
      <c r="N56" s="36">
        <v>5</v>
      </c>
      <c r="O56" s="36">
        <v>2</v>
      </c>
      <c r="P56" s="34">
        <v>2.4</v>
      </c>
      <c r="Q56" s="34" t="s">
        <v>28</v>
      </c>
      <c r="R56" s="34" t="s">
        <v>28</v>
      </c>
      <c r="S56" s="34" t="s">
        <v>30</v>
      </c>
      <c r="T56" s="35">
        <v>46203</v>
      </c>
      <c r="U56" s="34">
        <v>4</v>
      </c>
      <c r="V56" s="34">
        <v>3.8</v>
      </c>
      <c r="W56" s="34" t="s">
        <v>407</v>
      </c>
      <c r="X56" s="34" t="s">
        <v>622</v>
      </c>
    </row>
    <row r="57" spans="1:24" x14ac:dyDescent="0.3">
      <c r="A57" s="34" t="s">
        <v>270</v>
      </c>
      <c r="B57" s="35">
        <v>45548</v>
      </c>
      <c r="C57" s="34" t="s">
        <v>48</v>
      </c>
      <c r="D57" s="34" t="s">
        <v>24</v>
      </c>
      <c r="E57" s="36">
        <v>22</v>
      </c>
      <c r="F57" s="34" t="s">
        <v>25</v>
      </c>
      <c r="G57" s="34" t="s">
        <v>26</v>
      </c>
      <c r="H57" s="34" t="s">
        <v>55</v>
      </c>
      <c r="I57" s="34">
        <v>0</v>
      </c>
      <c r="J57" s="36">
        <v>27800</v>
      </c>
      <c r="K57" s="36">
        <v>2500</v>
      </c>
      <c r="L57" s="34">
        <v>3.1</v>
      </c>
      <c r="M57" s="36">
        <v>39</v>
      </c>
      <c r="N57" s="36">
        <v>2</v>
      </c>
      <c r="O57" s="36">
        <v>17</v>
      </c>
      <c r="P57" s="34">
        <v>3.1</v>
      </c>
      <c r="Q57" s="34" t="s">
        <v>29</v>
      </c>
      <c r="R57" s="34" t="s">
        <v>28</v>
      </c>
      <c r="S57" s="34" t="s">
        <v>34</v>
      </c>
      <c r="T57" s="35">
        <v>46203</v>
      </c>
      <c r="U57" s="34">
        <v>3.6</v>
      </c>
      <c r="V57" s="34">
        <v>3.9</v>
      </c>
      <c r="W57" s="34" t="s">
        <v>403</v>
      </c>
      <c r="X57" s="34" t="s">
        <v>623</v>
      </c>
    </row>
    <row r="58" spans="1:24" x14ac:dyDescent="0.3">
      <c r="A58" s="34" t="s">
        <v>275</v>
      </c>
      <c r="B58" s="35">
        <v>45579</v>
      </c>
      <c r="C58" s="34" t="s">
        <v>36</v>
      </c>
      <c r="D58" s="34" t="s">
        <v>41</v>
      </c>
      <c r="E58" s="36">
        <v>32</v>
      </c>
      <c r="F58" s="34" t="s">
        <v>25</v>
      </c>
      <c r="G58" s="34" t="s">
        <v>26</v>
      </c>
      <c r="H58" s="34" t="s">
        <v>63</v>
      </c>
      <c r="I58" s="34">
        <v>6.6</v>
      </c>
      <c r="J58" s="36">
        <v>52200</v>
      </c>
      <c r="K58" s="36">
        <v>1700</v>
      </c>
      <c r="L58" s="34">
        <v>3</v>
      </c>
      <c r="M58" s="36">
        <v>11</v>
      </c>
      <c r="N58" s="36">
        <v>10</v>
      </c>
      <c r="O58" s="36">
        <v>26</v>
      </c>
      <c r="P58" s="34">
        <v>3.3</v>
      </c>
      <c r="Q58" s="34" t="s">
        <v>29</v>
      </c>
      <c r="R58" s="34" t="s">
        <v>28</v>
      </c>
      <c r="S58" s="34" t="s">
        <v>60</v>
      </c>
      <c r="T58" s="35">
        <v>46203</v>
      </c>
      <c r="U58" s="34">
        <v>4.5999999999999996</v>
      </c>
      <c r="V58" s="34">
        <v>5</v>
      </c>
      <c r="W58" s="34" t="s">
        <v>405</v>
      </c>
      <c r="X58" s="34" t="s">
        <v>624</v>
      </c>
    </row>
    <row r="59" spans="1:24" x14ac:dyDescent="0.3">
      <c r="A59" s="34" t="s">
        <v>277</v>
      </c>
      <c r="B59" s="35">
        <v>45759</v>
      </c>
      <c r="C59" s="34" t="s">
        <v>54</v>
      </c>
      <c r="D59" s="34" t="s">
        <v>24</v>
      </c>
      <c r="E59" s="36">
        <v>59</v>
      </c>
      <c r="F59" s="34" t="s">
        <v>25</v>
      </c>
      <c r="G59" s="34" t="s">
        <v>26</v>
      </c>
      <c r="H59" s="34" t="s">
        <v>46</v>
      </c>
      <c r="I59" s="34">
        <v>32.799999999999997</v>
      </c>
      <c r="J59" s="36">
        <v>157200</v>
      </c>
      <c r="K59" s="36">
        <v>9900</v>
      </c>
      <c r="L59" s="34">
        <v>4.5</v>
      </c>
      <c r="M59" s="36">
        <v>26</v>
      </c>
      <c r="N59" s="36">
        <v>17</v>
      </c>
      <c r="O59" s="36">
        <v>20</v>
      </c>
      <c r="P59" s="34">
        <v>5</v>
      </c>
      <c r="Q59" s="34" t="s">
        <v>28</v>
      </c>
      <c r="R59" s="34" t="s">
        <v>29</v>
      </c>
      <c r="S59" s="34" t="s">
        <v>60</v>
      </c>
      <c r="T59" s="35">
        <v>46203</v>
      </c>
      <c r="U59" s="34">
        <v>2.9</v>
      </c>
      <c r="V59" s="34">
        <v>3.6</v>
      </c>
      <c r="W59" s="34" t="s">
        <v>407</v>
      </c>
      <c r="X59" s="34" t="s">
        <v>625</v>
      </c>
    </row>
    <row r="60" spans="1:24" x14ac:dyDescent="0.3">
      <c r="A60" s="34" t="s">
        <v>279</v>
      </c>
      <c r="B60" s="35">
        <v>45143</v>
      </c>
      <c r="C60" s="34" t="s">
        <v>54</v>
      </c>
      <c r="D60" s="34" t="s">
        <v>24</v>
      </c>
      <c r="E60" s="36">
        <v>31</v>
      </c>
      <c r="F60" s="34" t="s">
        <v>25</v>
      </c>
      <c r="G60" s="34" t="s">
        <v>51</v>
      </c>
      <c r="H60" s="34" t="s">
        <v>27</v>
      </c>
      <c r="I60" s="34">
        <v>5.8</v>
      </c>
      <c r="J60" s="36">
        <v>52300</v>
      </c>
      <c r="K60" s="36">
        <v>4800</v>
      </c>
      <c r="L60" s="34">
        <v>4.5999999999999996</v>
      </c>
      <c r="M60" s="36">
        <v>36</v>
      </c>
      <c r="N60" s="36">
        <v>15</v>
      </c>
      <c r="O60" s="36">
        <v>0</v>
      </c>
      <c r="P60" s="34">
        <v>4.2</v>
      </c>
      <c r="Q60" s="34" t="s">
        <v>28</v>
      </c>
      <c r="R60" s="34" t="s">
        <v>29</v>
      </c>
      <c r="S60" s="34" t="s">
        <v>34</v>
      </c>
      <c r="T60" s="35">
        <v>46203</v>
      </c>
      <c r="U60" s="34">
        <v>3</v>
      </c>
      <c r="V60" s="34">
        <v>3.3</v>
      </c>
      <c r="W60" s="34" t="s">
        <v>405</v>
      </c>
      <c r="X60" s="34" t="s">
        <v>626</v>
      </c>
    </row>
    <row r="61" spans="1:24" x14ac:dyDescent="0.3">
      <c r="A61" s="34" t="s">
        <v>285</v>
      </c>
      <c r="B61" s="35">
        <v>45634</v>
      </c>
      <c r="C61" s="34" t="s">
        <v>32</v>
      </c>
      <c r="D61" s="34" t="s">
        <v>24</v>
      </c>
      <c r="E61" s="36">
        <v>57</v>
      </c>
      <c r="F61" s="34" t="s">
        <v>25</v>
      </c>
      <c r="G61" s="34" t="s">
        <v>51</v>
      </c>
      <c r="H61" s="34" t="s">
        <v>27</v>
      </c>
      <c r="I61" s="34">
        <v>32.200000000000003</v>
      </c>
      <c r="J61" s="36">
        <v>143500</v>
      </c>
      <c r="K61" s="36">
        <v>6200</v>
      </c>
      <c r="L61" s="34">
        <v>2.2000000000000002</v>
      </c>
      <c r="M61" s="36">
        <v>8</v>
      </c>
      <c r="N61" s="36">
        <v>5</v>
      </c>
      <c r="O61" s="36">
        <v>17</v>
      </c>
      <c r="P61" s="34">
        <v>3.5</v>
      </c>
      <c r="Q61" s="34" t="s">
        <v>28</v>
      </c>
      <c r="R61" s="34" t="s">
        <v>28</v>
      </c>
      <c r="S61" s="34" t="s">
        <v>43</v>
      </c>
      <c r="T61" s="35">
        <v>46203</v>
      </c>
      <c r="U61" s="34">
        <v>3.4</v>
      </c>
      <c r="V61" s="34">
        <v>3.5</v>
      </c>
      <c r="W61" s="34" t="s">
        <v>407</v>
      </c>
      <c r="X61" s="34" t="s">
        <v>627</v>
      </c>
    </row>
    <row r="62" spans="1:24" x14ac:dyDescent="0.3">
      <c r="A62" s="34" t="s">
        <v>286</v>
      </c>
      <c r="B62" s="35">
        <v>45804</v>
      </c>
      <c r="C62" s="34" t="s">
        <v>54</v>
      </c>
      <c r="D62" s="34" t="s">
        <v>41</v>
      </c>
      <c r="E62" s="36">
        <v>47</v>
      </c>
      <c r="F62" s="34" t="s">
        <v>25</v>
      </c>
      <c r="G62" s="34" t="s">
        <v>51</v>
      </c>
      <c r="H62" s="34" t="s">
        <v>37</v>
      </c>
      <c r="I62" s="34">
        <v>23.9</v>
      </c>
      <c r="J62" s="36">
        <v>115400</v>
      </c>
      <c r="K62" s="36">
        <v>11500</v>
      </c>
      <c r="L62" s="34">
        <v>3.3</v>
      </c>
      <c r="M62" s="36">
        <v>14</v>
      </c>
      <c r="N62" s="36">
        <v>18</v>
      </c>
      <c r="O62" s="36">
        <v>3</v>
      </c>
      <c r="P62" s="34">
        <v>2.8</v>
      </c>
      <c r="Q62" s="34" t="s">
        <v>28</v>
      </c>
      <c r="R62" s="34" t="s">
        <v>28</v>
      </c>
      <c r="S62" s="34" t="s">
        <v>30</v>
      </c>
      <c r="T62" s="35">
        <v>46203</v>
      </c>
      <c r="U62" s="34">
        <v>2.2999999999999998</v>
      </c>
      <c r="V62" s="34">
        <v>2.4</v>
      </c>
      <c r="W62" s="34" t="s">
        <v>407</v>
      </c>
      <c r="X62" s="34" t="s">
        <v>628</v>
      </c>
    </row>
    <row r="63" spans="1:24" x14ac:dyDescent="0.3">
      <c r="A63" s="34" t="s">
        <v>289</v>
      </c>
      <c r="B63" s="35">
        <v>45898</v>
      </c>
      <c r="C63" s="34" t="s">
        <v>40</v>
      </c>
      <c r="D63" s="34" t="s">
        <v>41</v>
      </c>
      <c r="E63" s="36">
        <v>36</v>
      </c>
      <c r="F63" s="34" t="s">
        <v>25</v>
      </c>
      <c r="G63" s="34" t="s">
        <v>33</v>
      </c>
      <c r="H63" s="34" t="s">
        <v>46</v>
      </c>
      <c r="I63" s="34">
        <v>16.7</v>
      </c>
      <c r="J63" s="36">
        <v>110800</v>
      </c>
      <c r="K63" s="36">
        <v>13000</v>
      </c>
      <c r="L63" s="34">
        <v>4</v>
      </c>
      <c r="M63" s="36">
        <v>5</v>
      </c>
      <c r="N63" s="36">
        <v>14</v>
      </c>
      <c r="O63" s="36">
        <v>7</v>
      </c>
      <c r="P63" s="34">
        <v>4.3</v>
      </c>
      <c r="Q63" s="34" t="s">
        <v>28</v>
      </c>
      <c r="R63" s="34" t="s">
        <v>29</v>
      </c>
      <c r="S63" s="34" t="s">
        <v>34</v>
      </c>
      <c r="T63" s="35">
        <v>46203</v>
      </c>
      <c r="U63" s="34">
        <v>2.8</v>
      </c>
      <c r="V63" s="34">
        <v>3</v>
      </c>
      <c r="W63" s="34" t="s">
        <v>407</v>
      </c>
      <c r="X63" s="34" t="s">
        <v>629</v>
      </c>
    </row>
    <row r="64" spans="1:24" x14ac:dyDescent="0.3">
      <c r="A64" s="34" t="s">
        <v>290</v>
      </c>
      <c r="B64" s="35">
        <v>45381</v>
      </c>
      <c r="C64" s="34" t="s">
        <v>54</v>
      </c>
      <c r="D64" s="34" t="s">
        <v>24</v>
      </c>
      <c r="E64" s="36">
        <v>52</v>
      </c>
      <c r="F64" s="34" t="s">
        <v>25</v>
      </c>
      <c r="G64" s="34" t="s">
        <v>51</v>
      </c>
      <c r="H64" s="34" t="s">
        <v>27</v>
      </c>
      <c r="I64" s="34">
        <v>26.3</v>
      </c>
      <c r="J64" s="36">
        <v>113500</v>
      </c>
      <c r="K64" s="36">
        <v>7600</v>
      </c>
      <c r="L64" s="34">
        <v>3.9</v>
      </c>
      <c r="M64" s="36">
        <v>25</v>
      </c>
      <c r="N64" s="36">
        <v>9</v>
      </c>
      <c r="O64" s="36">
        <v>5</v>
      </c>
      <c r="P64" s="34">
        <v>3.9</v>
      </c>
      <c r="Q64" s="34" t="s">
        <v>28</v>
      </c>
      <c r="R64" s="34" t="s">
        <v>28</v>
      </c>
      <c r="S64" s="34" t="s">
        <v>30</v>
      </c>
      <c r="T64" s="35">
        <v>46203</v>
      </c>
      <c r="U64" s="34">
        <v>2.7</v>
      </c>
      <c r="V64" s="34">
        <v>3</v>
      </c>
      <c r="W64" s="34" t="s">
        <v>407</v>
      </c>
      <c r="X64" s="34" t="s">
        <v>630</v>
      </c>
    </row>
    <row r="65" spans="1:24" x14ac:dyDescent="0.3">
      <c r="A65" s="34" t="s">
        <v>292</v>
      </c>
      <c r="B65" s="35">
        <v>45694</v>
      </c>
      <c r="C65" s="34" t="s">
        <v>23</v>
      </c>
      <c r="D65" s="34" t="s">
        <v>24</v>
      </c>
      <c r="E65" s="36">
        <v>46</v>
      </c>
      <c r="F65" s="34" t="s">
        <v>25</v>
      </c>
      <c r="G65" s="34" t="s">
        <v>33</v>
      </c>
      <c r="H65" s="34" t="s">
        <v>55</v>
      </c>
      <c r="I65" s="34">
        <v>24.7</v>
      </c>
      <c r="J65" s="36">
        <v>136100</v>
      </c>
      <c r="K65" s="36">
        <v>5400</v>
      </c>
      <c r="L65" s="34">
        <v>4.5</v>
      </c>
      <c r="M65" s="36">
        <v>40</v>
      </c>
      <c r="N65" s="36">
        <v>6</v>
      </c>
      <c r="O65" s="36">
        <v>19</v>
      </c>
      <c r="P65" s="34">
        <v>3.3</v>
      </c>
      <c r="Q65" s="34" t="s">
        <v>29</v>
      </c>
      <c r="R65" s="34" t="s">
        <v>29</v>
      </c>
      <c r="S65" s="34" t="s">
        <v>30</v>
      </c>
      <c r="T65" s="35">
        <v>46203</v>
      </c>
      <c r="U65" s="34">
        <v>3.2</v>
      </c>
      <c r="V65" s="34">
        <v>3.8</v>
      </c>
      <c r="W65" s="34" t="s">
        <v>407</v>
      </c>
      <c r="X65" s="34" t="s">
        <v>631</v>
      </c>
    </row>
    <row r="66" spans="1:24" x14ac:dyDescent="0.3">
      <c r="A66" s="34" t="s">
        <v>295</v>
      </c>
      <c r="B66" s="35">
        <v>45947</v>
      </c>
      <c r="C66" s="34" t="s">
        <v>23</v>
      </c>
      <c r="D66" s="34" t="s">
        <v>41</v>
      </c>
      <c r="E66" s="36">
        <v>58</v>
      </c>
      <c r="F66" s="34" t="s">
        <v>25</v>
      </c>
      <c r="G66" s="34" t="s">
        <v>26</v>
      </c>
      <c r="H66" s="34" t="s">
        <v>27</v>
      </c>
      <c r="I66" s="34">
        <v>34</v>
      </c>
      <c r="J66" s="36">
        <v>160900</v>
      </c>
      <c r="K66" s="36">
        <v>14600</v>
      </c>
      <c r="L66" s="34">
        <v>3.4</v>
      </c>
      <c r="M66" s="36">
        <v>11</v>
      </c>
      <c r="N66" s="36">
        <v>7</v>
      </c>
      <c r="O66" s="36">
        <v>6</v>
      </c>
      <c r="P66" s="34">
        <v>3.3</v>
      </c>
      <c r="Q66" s="34" t="s">
        <v>28</v>
      </c>
      <c r="R66" s="34" t="s">
        <v>28</v>
      </c>
      <c r="S66" s="34" t="s">
        <v>34</v>
      </c>
      <c r="T66" s="35">
        <v>46203</v>
      </c>
      <c r="U66" s="34">
        <v>2.9</v>
      </c>
      <c r="V66" s="34">
        <v>2.9</v>
      </c>
      <c r="W66" s="34" t="s">
        <v>407</v>
      </c>
      <c r="X66" s="34" t="s">
        <v>632</v>
      </c>
    </row>
    <row r="67" spans="1:24" x14ac:dyDescent="0.3">
      <c r="A67" s="34" t="s">
        <v>300</v>
      </c>
      <c r="B67" s="35">
        <v>45217</v>
      </c>
      <c r="C67" s="34" t="s">
        <v>48</v>
      </c>
      <c r="D67" s="34" t="s">
        <v>24</v>
      </c>
      <c r="E67" s="36">
        <v>26</v>
      </c>
      <c r="F67" s="34" t="s">
        <v>25</v>
      </c>
      <c r="G67" s="34" t="s">
        <v>26</v>
      </c>
      <c r="H67" s="34" t="s">
        <v>52</v>
      </c>
      <c r="I67" s="34">
        <v>2.6</v>
      </c>
      <c r="J67" s="36">
        <v>59800</v>
      </c>
      <c r="K67" s="36">
        <v>6400</v>
      </c>
      <c r="L67" s="34">
        <v>3.8</v>
      </c>
      <c r="M67" s="36">
        <v>6</v>
      </c>
      <c r="N67" s="36">
        <v>11</v>
      </c>
      <c r="O67" s="36">
        <v>5</v>
      </c>
      <c r="P67" s="34">
        <v>2.7</v>
      </c>
      <c r="Q67" s="34" t="s">
        <v>28</v>
      </c>
      <c r="R67" s="34" t="s">
        <v>28</v>
      </c>
      <c r="S67" s="34" t="s">
        <v>34</v>
      </c>
      <c r="T67" s="35">
        <v>46203</v>
      </c>
      <c r="U67" s="34">
        <v>4.2</v>
      </c>
      <c r="V67" s="34">
        <v>4.5999999999999996</v>
      </c>
      <c r="W67" s="34" t="s">
        <v>403</v>
      </c>
      <c r="X67" s="34" t="s">
        <v>633</v>
      </c>
    </row>
    <row r="68" spans="1:24" x14ac:dyDescent="0.3">
      <c r="A68" s="34" t="s">
        <v>310</v>
      </c>
      <c r="B68" s="35">
        <v>45591</v>
      </c>
      <c r="C68" s="34" t="s">
        <v>23</v>
      </c>
      <c r="D68" s="34" t="s">
        <v>24</v>
      </c>
      <c r="E68" s="36">
        <v>21</v>
      </c>
      <c r="F68" s="34" t="s">
        <v>25</v>
      </c>
      <c r="G68" s="34" t="s">
        <v>33</v>
      </c>
      <c r="H68" s="34" t="s">
        <v>55</v>
      </c>
      <c r="I68" s="34">
        <v>0</v>
      </c>
      <c r="J68" s="36">
        <v>48800</v>
      </c>
      <c r="K68" s="36">
        <v>1200</v>
      </c>
      <c r="L68" s="34">
        <v>4.0999999999999996</v>
      </c>
      <c r="M68" s="36">
        <v>22</v>
      </c>
      <c r="N68" s="36">
        <v>2</v>
      </c>
      <c r="O68" s="36">
        <v>12</v>
      </c>
      <c r="P68" s="34">
        <v>3.2</v>
      </c>
      <c r="Q68" s="34" t="s">
        <v>28</v>
      </c>
      <c r="R68" s="34" t="s">
        <v>28</v>
      </c>
      <c r="S68" s="34" t="s">
        <v>38</v>
      </c>
      <c r="T68" s="35">
        <v>46203</v>
      </c>
      <c r="U68" s="34">
        <v>2.6</v>
      </c>
      <c r="V68" s="34">
        <v>3.2</v>
      </c>
      <c r="W68" s="34" t="s">
        <v>403</v>
      </c>
      <c r="X68" s="34" t="s">
        <v>634</v>
      </c>
    </row>
    <row r="69" spans="1:24" x14ac:dyDescent="0.3">
      <c r="A69" s="34" t="s">
        <v>311</v>
      </c>
      <c r="B69" s="35">
        <v>45508</v>
      </c>
      <c r="C69" s="34" t="s">
        <v>40</v>
      </c>
      <c r="D69" s="34" t="s">
        <v>24</v>
      </c>
      <c r="E69" s="36">
        <v>53</v>
      </c>
      <c r="F69" s="34" t="s">
        <v>25</v>
      </c>
      <c r="G69" s="34" t="s">
        <v>26</v>
      </c>
      <c r="H69" s="34" t="s">
        <v>63</v>
      </c>
      <c r="I69" s="34">
        <v>30</v>
      </c>
      <c r="J69" s="36">
        <v>152900</v>
      </c>
      <c r="K69" s="36">
        <v>13500</v>
      </c>
      <c r="L69" s="34">
        <v>3.9</v>
      </c>
      <c r="M69" s="36">
        <v>10</v>
      </c>
      <c r="N69" s="36">
        <v>8</v>
      </c>
      <c r="O69" s="36">
        <v>12</v>
      </c>
      <c r="P69" s="34">
        <v>4</v>
      </c>
      <c r="Q69" s="34" t="s">
        <v>28</v>
      </c>
      <c r="R69" s="34" t="s">
        <v>28</v>
      </c>
      <c r="S69" s="34" t="s">
        <v>60</v>
      </c>
      <c r="T69" s="35">
        <v>46203</v>
      </c>
      <c r="U69" s="34">
        <v>3.7</v>
      </c>
      <c r="V69" s="34">
        <v>4.0999999999999996</v>
      </c>
      <c r="W69" s="34" t="s">
        <v>407</v>
      </c>
      <c r="X69" s="34" t="s">
        <v>635</v>
      </c>
    </row>
    <row r="70" spans="1:24" x14ac:dyDescent="0.3">
      <c r="A70" s="34" t="s">
        <v>313</v>
      </c>
      <c r="B70" s="35">
        <v>45337</v>
      </c>
      <c r="C70" s="34" t="s">
        <v>40</v>
      </c>
      <c r="D70" s="34" t="s">
        <v>41</v>
      </c>
      <c r="E70" s="36">
        <v>29</v>
      </c>
      <c r="F70" s="34" t="s">
        <v>25</v>
      </c>
      <c r="G70" s="34" t="s">
        <v>51</v>
      </c>
      <c r="H70" s="34" t="s">
        <v>55</v>
      </c>
      <c r="I70" s="34">
        <v>9.1</v>
      </c>
      <c r="J70" s="36">
        <v>50400</v>
      </c>
      <c r="K70" s="36">
        <v>2200</v>
      </c>
      <c r="L70" s="34">
        <v>5</v>
      </c>
      <c r="M70" s="36">
        <v>10</v>
      </c>
      <c r="N70" s="36">
        <v>8</v>
      </c>
      <c r="O70" s="36">
        <v>13</v>
      </c>
      <c r="P70" s="34">
        <v>4</v>
      </c>
      <c r="Q70" s="34" t="s">
        <v>28</v>
      </c>
      <c r="R70" s="34" t="s">
        <v>29</v>
      </c>
      <c r="S70" s="34" t="s">
        <v>43</v>
      </c>
      <c r="T70" s="35">
        <v>46203</v>
      </c>
      <c r="U70" s="34">
        <v>2.9</v>
      </c>
      <c r="V70" s="34">
        <v>3.6</v>
      </c>
      <c r="W70" s="34" t="s">
        <v>407</v>
      </c>
      <c r="X70" s="34" t="s">
        <v>636</v>
      </c>
    </row>
    <row r="71" spans="1:24" x14ac:dyDescent="0.3">
      <c r="A71" s="34" t="s">
        <v>323</v>
      </c>
      <c r="B71" s="35">
        <v>45194</v>
      </c>
      <c r="C71" s="34" t="s">
        <v>54</v>
      </c>
      <c r="D71" s="34" t="s">
        <v>24</v>
      </c>
      <c r="E71" s="36">
        <v>29</v>
      </c>
      <c r="F71" s="34" t="s">
        <v>25</v>
      </c>
      <c r="G71" s="34" t="s">
        <v>26</v>
      </c>
      <c r="H71" s="34" t="s">
        <v>55</v>
      </c>
      <c r="I71" s="34">
        <v>8.4</v>
      </c>
      <c r="J71" s="36">
        <v>69100</v>
      </c>
      <c r="K71" s="36">
        <v>1900</v>
      </c>
      <c r="L71" s="34">
        <v>2.2999999999999998</v>
      </c>
      <c r="M71" s="36">
        <v>32</v>
      </c>
      <c r="N71" s="36">
        <v>2</v>
      </c>
      <c r="O71" s="36">
        <v>4</v>
      </c>
      <c r="P71" s="34">
        <v>3</v>
      </c>
      <c r="Q71" s="34" t="s">
        <v>28</v>
      </c>
      <c r="R71" s="34" t="s">
        <v>28</v>
      </c>
      <c r="S71" s="34" t="s">
        <v>34</v>
      </c>
      <c r="T71" s="35">
        <v>46203</v>
      </c>
      <c r="U71" s="34">
        <v>3.7</v>
      </c>
      <c r="V71" s="34">
        <v>3.9</v>
      </c>
      <c r="W71" s="34" t="s">
        <v>407</v>
      </c>
      <c r="X71" s="34" t="s">
        <v>637</v>
      </c>
    </row>
    <row r="72" spans="1:24" x14ac:dyDescent="0.3">
      <c r="A72" s="34" t="s">
        <v>328</v>
      </c>
      <c r="B72" s="35">
        <v>45298</v>
      </c>
      <c r="C72" s="34" t="s">
        <v>32</v>
      </c>
      <c r="D72" s="34" t="s">
        <v>41</v>
      </c>
      <c r="E72" s="36">
        <v>27</v>
      </c>
      <c r="F72" s="34" t="s">
        <v>25</v>
      </c>
      <c r="G72" s="34" t="s">
        <v>51</v>
      </c>
      <c r="H72" s="34" t="s">
        <v>63</v>
      </c>
      <c r="I72" s="34">
        <v>3.2</v>
      </c>
      <c r="J72" s="36">
        <v>47400</v>
      </c>
      <c r="K72" s="36">
        <v>5600</v>
      </c>
      <c r="L72" s="34">
        <v>3.4</v>
      </c>
      <c r="M72" s="36">
        <v>26</v>
      </c>
      <c r="N72" s="36">
        <v>15</v>
      </c>
      <c r="O72" s="36">
        <v>19</v>
      </c>
      <c r="P72" s="34">
        <v>3.6</v>
      </c>
      <c r="Q72" s="34" t="s">
        <v>28</v>
      </c>
      <c r="R72" s="34" t="s">
        <v>28</v>
      </c>
      <c r="S72" s="34" t="s">
        <v>34</v>
      </c>
      <c r="T72" s="35">
        <v>46203</v>
      </c>
      <c r="U72" s="34">
        <v>3.3</v>
      </c>
      <c r="V72" s="34">
        <v>4.0999999999999996</v>
      </c>
      <c r="W72" s="34" t="s">
        <v>405</v>
      </c>
      <c r="X72" s="34" t="s">
        <v>638</v>
      </c>
    </row>
    <row r="73" spans="1:24" x14ac:dyDescent="0.3">
      <c r="A73" s="34" t="s">
        <v>332</v>
      </c>
      <c r="B73" s="35">
        <v>45407</v>
      </c>
      <c r="C73" s="34" t="s">
        <v>36</v>
      </c>
      <c r="D73" s="34" t="s">
        <v>24</v>
      </c>
      <c r="E73" s="36">
        <v>21</v>
      </c>
      <c r="F73" s="34" t="s">
        <v>25</v>
      </c>
      <c r="G73" s="34" t="s">
        <v>33</v>
      </c>
      <c r="H73" s="34" t="s">
        <v>46</v>
      </c>
      <c r="I73" s="34">
        <v>0</v>
      </c>
      <c r="J73" s="36">
        <v>54100</v>
      </c>
      <c r="K73" s="36">
        <v>6300</v>
      </c>
      <c r="L73" s="34">
        <v>3.4</v>
      </c>
      <c r="M73" s="36">
        <v>24</v>
      </c>
      <c r="N73" s="36">
        <v>11</v>
      </c>
      <c r="O73" s="36">
        <v>29</v>
      </c>
      <c r="P73" s="34">
        <v>4.5</v>
      </c>
      <c r="Q73" s="34" t="s">
        <v>28</v>
      </c>
      <c r="R73" s="34" t="s">
        <v>28</v>
      </c>
      <c r="S73" s="34" t="s">
        <v>34</v>
      </c>
      <c r="T73" s="35">
        <v>46203</v>
      </c>
      <c r="U73" s="34">
        <v>3.7</v>
      </c>
      <c r="V73" s="34">
        <v>4.4000000000000004</v>
      </c>
      <c r="W73" s="34" t="s">
        <v>403</v>
      </c>
      <c r="X73" s="34" t="s">
        <v>639</v>
      </c>
    </row>
    <row r="74" spans="1:24" x14ac:dyDescent="0.3">
      <c r="A74" s="34" t="s">
        <v>335</v>
      </c>
      <c r="B74" s="35">
        <v>45771</v>
      </c>
      <c r="C74" s="34" t="s">
        <v>40</v>
      </c>
      <c r="D74" s="34" t="s">
        <v>41</v>
      </c>
      <c r="E74" s="36">
        <v>38</v>
      </c>
      <c r="F74" s="34" t="s">
        <v>25</v>
      </c>
      <c r="G74" s="34" t="s">
        <v>26</v>
      </c>
      <c r="H74" s="34" t="s">
        <v>46</v>
      </c>
      <c r="I74" s="34">
        <v>10.9</v>
      </c>
      <c r="J74" s="36">
        <v>77200</v>
      </c>
      <c r="K74" s="36">
        <v>3900</v>
      </c>
      <c r="L74" s="34">
        <v>4</v>
      </c>
      <c r="M74" s="36">
        <v>37</v>
      </c>
      <c r="N74" s="36">
        <v>11</v>
      </c>
      <c r="O74" s="36">
        <v>18</v>
      </c>
      <c r="P74" s="34">
        <v>3.2</v>
      </c>
      <c r="Q74" s="34" t="s">
        <v>28</v>
      </c>
      <c r="R74" s="34" t="s">
        <v>29</v>
      </c>
      <c r="S74" s="34" t="s">
        <v>43</v>
      </c>
      <c r="T74" s="35">
        <v>46203</v>
      </c>
      <c r="U74" s="34">
        <v>3.7</v>
      </c>
      <c r="V74" s="34">
        <v>3.9</v>
      </c>
      <c r="W74" s="34" t="s">
        <v>407</v>
      </c>
      <c r="X74" s="34" t="s">
        <v>640</v>
      </c>
    </row>
    <row r="75" spans="1:24" x14ac:dyDescent="0.3">
      <c r="A75" s="34" t="s">
        <v>341</v>
      </c>
      <c r="B75" s="35">
        <v>45103</v>
      </c>
      <c r="C75" s="34" t="s">
        <v>36</v>
      </c>
      <c r="D75" s="34" t="s">
        <v>24</v>
      </c>
      <c r="E75" s="36">
        <v>52</v>
      </c>
      <c r="F75" s="34" t="s">
        <v>25</v>
      </c>
      <c r="G75" s="34" t="s">
        <v>51</v>
      </c>
      <c r="H75" s="34" t="s">
        <v>52</v>
      </c>
      <c r="I75" s="34">
        <v>24.4</v>
      </c>
      <c r="J75" s="36">
        <v>113700</v>
      </c>
      <c r="K75" s="36">
        <v>13600</v>
      </c>
      <c r="L75" s="34">
        <v>3</v>
      </c>
      <c r="M75" s="36">
        <v>36</v>
      </c>
      <c r="N75" s="36">
        <v>7</v>
      </c>
      <c r="O75" s="36">
        <v>7</v>
      </c>
      <c r="P75" s="34">
        <v>3.3</v>
      </c>
      <c r="Q75" s="34" t="s">
        <v>28</v>
      </c>
      <c r="R75" s="34" t="s">
        <v>28</v>
      </c>
      <c r="S75" s="34" t="s">
        <v>38</v>
      </c>
      <c r="T75" s="35">
        <v>46203</v>
      </c>
      <c r="U75" s="34">
        <v>2.9</v>
      </c>
      <c r="V75" s="34">
        <v>3.2</v>
      </c>
      <c r="W75" s="34" t="s">
        <v>407</v>
      </c>
      <c r="X75" s="34" t="s">
        <v>641</v>
      </c>
    </row>
    <row r="76" spans="1:24" x14ac:dyDescent="0.3">
      <c r="A76" s="34" t="s">
        <v>343</v>
      </c>
      <c r="B76" s="35">
        <v>45214</v>
      </c>
      <c r="C76" s="34" t="s">
        <v>40</v>
      </c>
      <c r="D76" s="34" t="s">
        <v>24</v>
      </c>
      <c r="E76" s="36">
        <v>44</v>
      </c>
      <c r="F76" s="34" t="s">
        <v>25</v>
      </c>
      <c r="G76" s="34" t="s">
        <v>42</v>
      </c>
      <c r="H76" s="34" t="s">
        <v>63</v>
      </c>
      <c r="I76" s="34">
        <v>16.399999999999999</v>
      </c>
      <c r="J76" s="36">
        <v>116900</v>
      </c>
      <c r="K76" s="36">
        <v>9300</v>
      </c>
      <c r="L76" s="34">
        <v>4.2</v>
      </c>
      <c r="M76" s="36">
        <v>6</v>
      </c>
      <c r="N76" s="36">
        <v>7</v>
      </c>
      <c r="O76" s="36">
        <v>5</v>
      </c>
      <c r="P76" s="34">
        <v>2.8</v>
      </c>
      <c r="Q76" s="34" t="s">
        <v>28</v>
      </c>
      <c r="R76" s="34" t="s">
        <v>29</v>
      </c>
      <c r="S76" s="34" t="s">
        <v>60</v>
      </c>
      <c r="T76" s="35">
        <v>46203</v>
      </c>
      <c r="U76" s="34">
        <v>2.2999999999999998</v>
      </c>
      <c r="V76" s="34">
        <v>2.8</v>
      </c>
      <c r="W76" s="34" t="s">
        <v>407</v>
      </c>
      <c r="X76" s="34" t="s">
        <v>642</v>
      </c>
    </row>
    <row r="77" spans="1:24" x14ac:dyDescent="0.3">
      <c r="A77" s="34" t="s">
        <v>345</v>
      </c>
      <c r="B77" s="35">
        <v>45955</v>
      </c>
      <c r="C77" s="34" t="s">
        <v>32</v>
      </c>
      <c r="D77" s="34" t="s">
        <v>41</v>
      </c>
      <c r="E77" s="36">
        <v>42</v>
      </c>
      <c r="F77" s="34" t="s">
        <v>25</v>
      </c>
      <c r="G77" s="34" t="s">
        <v>51</v>
      </c>
      <c r="H77" s="34" t="s">
        <v>55</v>
      </c>
      <c r="I77" s="34">
        <v>20.6</v>
      </c>
      <c r="J77" s="36">
        <v>103100</v>
      </c>
      <c r="K77" s="36">
        <v>9400</v>
      </c>
      <c r="L77" s="34">
        <v>3</v>
      </c>
      <c r="M77" s="36">
        <v>13</v>
      </c>
      <c r="N77" s="36">
        <v>16</v>
      </c>
      <c r="O77" s="36">
        <v>9</v>
      </c>
      <c r="P77" s="34">
        <v>3.8</v>
      </c>
      <c r="Q77" s="34" t="s">
        <v>28</v>
      </c>
      <c r="R77" s="34" t="s">
        <v>28</v>
      </c>
      <c r="S77" s="34" t="s">
        <v>30</v>
      </c>
      <c r="T77" s="35">
        <v>46203</v>
      </c>
      <c r="U77" s="34">
        <v>2.8</v>
      </c>
      <c r="V77" s="34">
        <v>2.8</v>
      </c>
      <c r="W77" s="34" t="s">
        <v>407</v>
      </c>
      <c r="X77" s="34" t="s">
        <v>643</v>
      </c>
    </row>
    <row r="78" spans="1:24" x14ac:dyDescent="0.3">
      <c r="A78" s="34" t="s">
        <v>347</v>
      </c>
      <c r="B78" s="35">
        <v>45609</v>
      </c>
      <c r="C78" s="34" t="s">
        <v>40</v>
      </c>
      <c r="D78" s="34" t="s">
        <v>24</v>
      </c>
      <c r="E78" s="36">
        <v>48</v>
      </c>
      <c r="F78" s="34" t="s">
        <v>25</v>
      </c>
      <c r="G78" s="34" t="s">
        <v>42</v>
      </c>
      <c r="H78" s="34" t="s">
        <v>52</v>
      </c>
      <c r="I78" s="34">
        <v>22.7</v>
      </c>
      <c r="J78" s="36">
        <v>139700</v>
      </c>
      <c r="K78" s="36">
        <v>15900</v>
      </c>
      <c r="L78" s="34">
        <v>4.0999999999999996</v>
      </c>
      <c r="M78" s="36">
        <v>26</v>
      </c>
      <c r="N78" s="36">
        <v>14</v>
      </c>
      <c r="O78" s="36">
        <v>6</v>
      </c>
      <c r="P78" s="34">
        <v>3.2</v>
      </c>
      <c r="Q78" s="34" t="s">
        <v>28</v>
      </c>
      <c r="R78" s="34" t="s">
        <v>29</v>
      </c>
      <c r="S78" s="34" t="s">
        <v>34</v>
      </c>
      <c r="T78" s="35">
        <v>46203</v>
      </c>
      <c r="U78" s="34">
        <v>2.5</v>
      </c>
      <c r="V78" s="34">
        <v>2.6</v>
      </c>
      <c r="W78" s="34" t="s">
        <v>407</v>
      </c>
      <c r="X78" s="34" t="s">
        <v>644</v>
      </c>
    </row>
    <row r="79" spans="1:24" x14ac:dyDescent="0.3">
      <c r="A79" s="34" t="s">
        <v>348</v>
      </c>
      <c r="B79" s="35">
        <v>45902</v>
      </c>
      <c r="C79" s="34" t="s">
        <v>40</v>
      </c>
      <c r="D79" s="34" t="s">
        <v>24</v>
      </c>
      <c r="E79" s="36">
        <v>27</v>
      </c>
      <c r="F79" s="34" t="s">
        <v>25</v>
      </c>
      <c r="G79" s="34" t="s">
        <v>33</v>
      </c>
      <c r="H79" s="34" t="s">
        <v>55</v>
      </c>
      <c r="I79" s="34">
        <v>4.8</v>
      </c>
      <c r="J79" s="36">
        <v>71200</v>
      </c>
      <c r="K79" s="36">
        <v>5200</v>
      </c>
      <c r="L79" s="34">
        <v>3.6</v>
      </c>
      <c r="M79" s="36">
        <v>18</v>
      </c>
      <c r="N79" s="36">
        <v>13</v>
      </c>
      <c r="O79" s="36">
        <v>2</v>
      </c>
      <c r="P79" s="34">
        <v>3.3</v>
      </c>
      <c r="Q79" s="34" t="s">
        <v>29</v>
      </c>
      <c r="R79" s="34" t="s">
        <v>28</v>
      </c>
      <c r="S79" s="34" t="s">
        <v>43</v>
      </c>
      <c r="T79" s="35">
        <v>46203</v>
      </c>
      <c r="U79" s="34">
        <v>2.8</v>
      </c>
      <c r="V79" s="34">
        <v>3.3</v>
      </c>
      <c r="W79" s="34" t="s">
        <v>405</v>
      </c>
      <c r="X79" s="34" t="s">
        <v>645</v>
      </c>
    </row>
    <row r="80" spans="1:24" x14ac:dyDescent="0.3">
      <c r="A80" s="34" t="s">
        <v>49</v>
      </c>
      <c r="B80" s="35">
        <v>45369</v>
      </c>
      <c r="C80" s="34" t="s">
        <v>48</v>
      </c>
      <c r="D80" s="34" t="s">
        <v>24</v>
      </c>
      <c r="E80" s="36">
        <v>27</v>
      </c>
      <c r="F80" s="34" t="s">
        <v>50</v>
      </c>
      <c r="G80" s="34" t="s">
        <v>51</v>
      </c>
      <c r="H80" s="34" t="s">
        <v>52</v>
      </c>
      <c r="I80" s="34">
        <v>7.6</v>
      </c>
      <c r="J80" s="36">
        <v>52500</v>
      </c>
      <c r="K80" s="36">
        <v>1500</v>
      </c>
      <c r="L80" s="34">
        <v>2.8</v>
      </c>
      <c r="M80" s="36">
        <v>33</v>
      </c>
      <c r="N80" s="36">
        <v>5</v>
      </c>
      <c r="O80" s="36">
        <v>17</v>
      </c>
      <c r="P80" s="34">
        <v>4.0999999999999996</v>
      </c>
      <c r="Q80" s="34" t="s">
        <v>28</v>
      </c>
      <c r="R80" s="34" t="s">
        <v>28</v>
      </c>
      <c r="S80" s="34" t="s">
        <v>43</v>
      </c>
      <c r="T80" s="35">
        <v>46203</v>
      </c>
      <c r="U80" s="34">
        <v>2.7</v>
      </c>
      <c r="V80" s="34">
        <v>2.6</v>
      </c>
      <c r="W80" s="34" t="s">
        <v>407</v>
      </c>
      <c r="X80" s="34" t="s">
        <v>646</v>
      </c>
    </row>
    <row r="81" spans="1:24" x14ac:dyDescent="0.3">
      <c r="A81" s="34" t="s">
        <v>81</v>
      </c>
      <c r="B81" s="35">
        <v>46017</v>
      </c>
      <c r="C81" s="34" t="s">
        <v>48</v>
      </c>
      <c r="D81" s="34" t="s">
        <v>41</v>
      </c>
      <c r="E81" s="36">
        <v>28</v>
      </c>
      <c r="F81" s="34" t="s">
        <v>57</v>
      </c>
      <c r="G81" s="34" t="s">
        <v>26</v>
      </c>
      <c r="H81" s="34" t="s">
        <v>37</v>
      </c>
      <c r="I81" s="34">
        <v>0.2</v>
      </c>
      <c r="J81" s="36">
        <v>28200</v>
      </c>
      <c r="K81" s="36">
        <v>1800</v>
      </c>
      <c r="L81" s="34">
        <v>3.4</v>
      </c>
      <c r="M81" s="36">
        <v>33</v>
      </c>
      <c r="N81" s="36">
        <v>12</v>
      </c>
      <c r="O81" s="36">
        <v>21</v>
      </c>
      <c r="P81" s="34">
        <v>3.9</v>
      </c>
      <c r="Q81" s="34" t="s">
        <v>28</v>
      </c>
      <c r="R81" s="34" t="s">
        <v>28</v>
      </c>
      <c r="S81" s="34" t="s">
        <v>43</v>
      </c>
      <c r="T81" s="35">
        <v>46203</v>
      </c>
      <c r="U81" s="34">
        <v>4.3</v>
      </c>
      <c r="V81" s="34">
        <v>5</v>
      </c>
      <c r="W81" s="34" t="s">
        <v>403</v>
      </c>
      <c r="X81" s="34" t="s">
        <v>647</v>
      </c>
    </row>
    <row r="82" spans="1:24" x14ac:dyDescent="0.3">
      <c r="A82" s="34" t="s">
        <v>82</v>
      </c>
      <c r="B82" s="35">
        <v>45579</v>
      </c>
      <c r="C82" s="34" t="s">
        <v>23</v>
      </c>
      <c r="D82" s="34" t="s">
        <v>41</v>
      </c>
      <c r="E82" s="36">
        <v>60</v>
      </c>
      <c r="F82" s="34" t="s">
        <v>50</v>
      </c>
      <c r="G82" s="34" t="s">
        <v>26</v>
      </c>
      <c r="H82" s="34" t="s">
        <v>27</v>
      </c>
      <c r="I82" s="34">
        <v>34.700000000000003</v>
      </c>
      <c r="J82" s="36">
        <v>148800</v>
      </c>
      <c r="K82" s="36">
        <v>14900</v>
      </c>
      <c r="L82" s="34">
        <v>3.9</v>
      </c>
      <c r="M82" s="36">
        <v>29</v>
      </c>
      <c r="N82" s="36">
        <v>15</v>
      </c>
      <c r="O82" s="36">
        <v>7</v>
      </c>
      <c r="P82" s="34">
        <v>2.5</v>
      </c>
      <c r="Q82" s="34" t="s">
        <v>29</v>
      </c>
      <c r="R82" s="34" t="s">
        <v>28</v>
      </c>
      <c r="S82" s="34" t="s">
        <v>38</v>
      </c>
      <c r="T82" s="35">
        <v>46203</v>
      </c>
      <c r="U82" s="34">
        <v>4.0999999999999996</v>
      </c>
      <c r="V82" s="34">
        <v>4.5</v>
      </c>
      <c r="W82" s="34" t="s">
        <v>407</v>
      </c>
      <c r="X82" s="34" t="s">
        <v>648</v>
      </c>
    </row>
    <row r="83" spans="1:24" x14ac:dyDescent="0.3">
      <c r="A83" s="34" t="s">
        <v>88</v>
      </c>
      <c r="B83" s="35">
        <v>45907</v>
      </c>
      <c r="C83" s="34" t="s">
        <v>54</v>
      </c>
      <c r="D83" s="34" t="s">
        <v>24</v>
      </c>
      <c r="E83" s="36">
        <v>31</v>
      </c>
      <c r="F83" s="34" t="s">
        <v>57</v>
      </c>
      <c r="G83" s="34" t="s">
        <v>51</v>
      </c>
      <c r="H83" s="34" t="s">
        <v>37</v>
      </c>
      <c r="I83" s="34">
        <v>14.1</v>
      </c>
      <c r="J83" s="36">
        <v>72300</v>
      </c>
      <c r="K83" s="36">
        <v>4500</v>
      </c>
      <c r="L83" s="34">
        <v>2.7</v>
      </c>
      <c r="M83" s="36">
        <v>21</v>
      </c>
      <c r="N83" s="36">
        <v>9</v>
      </c>
      <c r="O83" s="36">
        <v>25</v>
      </c>
      <c r="P83" s="34">
        <v>4.9000000000000004</v>
      </c>
      <c r="Q83" s="34" t="s">
        <v>28</v>
      </c>
      <c r="R83" s="34" t="s">
        <v>28</v>
      </c>
      <c r="S83" s="34" t="s">
        <v>38</v>
      </c>
      <c r="T83" s="35">
        <v>46203</v>
      </c>
      <c r="U83" s="34">
        <v>3.7</v>
      </c>
      <c r="V83" s="34">
        <v>3.8</v>
      </c>
      <c r="W83" s="34" t="s">
        <v>407</v>
      </c>
      <c r="X83" s="34" t="s">
        <v>649</v>
      </c>
    </row>
    <row r="84" spans="1:24" x14ac:dyDescent="0.3">
      <c r="A84" s="34" t="s">
        <v>99</v>
      </c>
      <c r="B84" s="35">
        <v>45973</v>
      </c>
      <c r="C84" s="34" t="s">
        <v>54</v>
      </c>
      <c r="D84" s="34" t="s">
        <v>41</v>
      </c>
      <c r="E84" s="36">
        <v>38</v>
      </c>
      <c r="F84" s="34" t="s">
        <v>57</v>
      </c>
      <c r="G84" s="34" t="s">
        <v>51</v>
      </c>
      <c r="H84" s="34" t="s">
        <v>63</v>
      </c>
      <c r="I84" s="34">
        <v>12.4</v>
      </c>
      <c r="J84" s="36">
        <v>69300</v>
      </c>
      <c r="K84" s="36">
        <v>5000</v>
      </c>
      <c r="L84" s="34">
        <v>2.4</v>
      </c>
      <c r="M84" s="36">
        <v>8</v>
      </c>
      <c r="N84" s="36">
        <v>10</v>
      </c>
      <c r="O84" s="36">
        <v>24</v>
      </c>
      <c r="P84" s="34">
        <v>3.9</v>
      </c>
      <c r="Q84" s="34" t="s">
        <v>28</v>
      </c>
      <c r="R84" s="34" t="s">
        <v>28</v>
      </c>
      <c r="S84" s="34" t="s">
        <v>30</v>
      </c>
      <c r="T84" s="35">
        <v>46203</v>
      </c>
      <c r="U84" s="34">
        <v>4.8</v>
      </c>
      <c r="V84" s="34">
        <v>4.7</v>
      </c>
      <c r="W84" s="34" t="s">
        <v>407</v>
      </c>
      <c r="X84" s="34" t="s">
        <v>650</v>
      </c>
    </row>
    <row r="85" spans="1:24" x14ac:dyDescent="0.3">
      <c r="A85" s="34" t="s">
        <v>102</v>
      </c>
      <c r="B85" s="35">
        <v>45981</v>
      </c>
      <c r="C85" s="34" t="s">
        <v>40</v>
      </c>
      <c r="D85" s="34" t="s">
        <v>41</v>
      </c>
      <c r="E85" s="36">
        <v>22</v>
      </c>
      <c r="F85" s="34" t="s">
        <v>50</v>
      </c>
      <c r="G85" s="34" t="s">
        <v>51</v>
      </c>
      <c r="H85" s="34" t="s">
        <v>37</v>
      </c>
      <c r="I85" s="34">
        <v>0</v>
      </c>
      <c r="J85" s="36">
        <v>40800</v>
      </c>
      <c r="K85" s="36">
        <v>1400</v>
      </c>
      <c r="L85" s="34">
        <v>3.9</v>
      </c>
      <c r="M85" s="36">
        <v>8</v>
      </c>
      <c r="N85" s="36">
        <v>17</v>
      </c>
      <c r="O85" s="36">
        <v>24</v>
      </c>
      <c r="P85" s="34">
        <v>3.2</v>
      </c>
      <c r="Q85" s="34" t="s">
        <v>28</v>
      </c>
      <c r="R85" s="34" t="s">
        <v>28</v>
      </c>
      <c r="S85" s="34" t="s">
        <v>34</v>
      </c>
      <c r="T85" s="35">
        <v>46203</v>
      </c>
      <c r="U85" s="34">
        <v>3</v>
      </c>
      <c r="V85" s="34">
        <v>3.4</v>
      </c>
      <c r="W85" s="34" t="s">
        <v>403</v>
      </c>
      <c r="X85" s="34" t="s">
        <v>651</v>
      </c>
    </row>
    <row r="86" spans="1:24" x14ac:dyDescent="0.3">
      <c r="A86" s="34" t="s">
        <v>109</v>
      </c>
      <c r="B86" s="35">
        <v>45997</v>
      </c>
      <c r="C86" s="34" t="s">
        <v>48</v>
      </c>
      <c r="D86" s="34" t="s">
        <v>24</v>
      </c>
      <c r="E86" s="36">
        <v>30</v>
      </c>
      <c r="F86" s="34" t="s">
        <v>50</v>
      </c>
      <c r="G86" s="34" t="s">
        <v>26</v>
      </c>
      <c r="H86" s="34" t="s">
        <v>55</v>
      </c>
      <c r="I86" s="34">
        <v>4</v>
      </c>
      <c r="J86" s="36">
        <v>63300</v>
      </c>
      <c r="K86" s="36">
        <v>4800</v>
      </c>
      <c r="L86" s="34">
        <v>4.9000000000000004</v>
      </c>
      <c r="M86" s="36">
        <v>10</v>
      </c>
      <c r="N86" s="36">
        <v>20</v>
      </c>
      <c r="O86" s="36">
        <v>24</v>
      </c>
      <c r="P86" s="34">
        <v>4.5999999999999996</v>
      </c>
      <c r="Q86" s="34" t="s">
        <v>29</v>
      </c>
      <c r="R86" s="34" t="s">
        <v>29</v>
      </c>
      <c r="S86" s="34" t="s">
        <v>34</v>
      </c>
      <c r="T86" s="35">
        <v>46203</v>
      </c>
      <c r="U86" s="34">
        <v>2.5</v>
      </c>
      <c r="V86" s="34">
        <v>3.5</v>
      </c>
      <c r="W86" s="34" t="s">
        <v>405</v>
      </c>
      <c r="X86" s="34" t="s">
        <v>652</v>
      </c>
    </row>
    <row r="87" spans="1:24" x14ac:dyDescent="0.3">
      <c r="A87" s="34" t="s">
        <v>137</v>
      </c>
      <c r="B87" s="35">
        <v>45315</v>
      </c>
      <c r="C87" s="34" t="s">
        <v>23</v>
      </c>
      <c r="D87" s="34" t="s">
        <v>24</v>
      </c>
      <c r="E87" s="36">
        <v>56</v>
      </c>
      <c r="F87" s="34" t="s">
        <v>50</v>
      </c>
      <c r="G87" s="34" t="s">
        <v>26</v>
      </c>
      <c r="H87" s="34" t="s">
        <v>52</v>
      </c>
      <c r="I87" s="34">
        <v>35</v>
      </c>
      <c r="J87" s="36">
        <v>155400</v>
      </c>
      <c r="K87" s="36">
        <v>6700</v>
      </c>
      <c r="L87" s="34">
        <v>2.8</v>
      </c>
      <c r="M87" s="36">
        <v>15</v>
      </c>
      <c r="N87" s="36">
        <v>14</v>
      </c>
      <c r="O87" s="36">
        <v>13</v>
      </c>
      <c r="P87" s="34">
        <v>3</v>
      </c>
      <c r="Q87" s="34" t="s">
        <v>28</v>
      </c>
      <c r="R87" s="34" t="s">
        <v>28</v>
      </c>
      <c r="S87" s="34" t="s">
        <v>60</v>
      </c>
      <c r="T87" s="35">
        <v>46203</v>
      </c>
      <c r="U87" s="34">
        <v>4.4000000000000004</v>
      </c>
      <c r="V87" s="34">
        <v>4.5</v>
      </c>
      <c r="W87" s="34" t="s">
        <v>407</v>
      </c>
      <c r="X87" s="34" t="s">
        <v>653</v>
      </c>
    </row>
    <row r="88" spans="1:24" x14ac:dyDescent="0.3">
      <c r="A88" s="34" t="s">
        <v>159</v>
      </c>
      <c r="B88" s="35">
        <v>45632</v>
      </c>
      <c r="C88" s="34" t="s">
        <v>36</v>
      </c>
      <c r="D88" s="34" t="s">
        <v>24</v>
      </c>
      <c r="E88" s="36">
        <v>44</v>
      </c>
      <c r="F88" s="34" t="s">
        <v>50</v>
      </c>
      <c r="G88" s="34" t="s">
        <v>26</v>
      </c>
      <c r="H88" s="34" t="s">
        <v>63</v>
      </c>
      <c r="I88" s="34">
        <v>19.2</v>
      </c>
      <c r="J88" s="36">
        <v>111600</v>
      </c>
      <c r="K88" s="36">
        <v>12000</v>
      </c>
      <c r="L88" s="34">
        <v>4.3</v>
      </c>
      <c r="M88" s="36">
        <v>36</v>
      </c>
      <c r="N88" s="36">
        <v>17</v>
      </c>
      <c r="O88" s="36">
        <v>25</v>
      </c>
      <c r="P88" s="34">
        <v>3.7</v>
      </c>
      <c r="Q88" s="34" t="s">
        <v>28</v>
      </c>
      <c r="R88" s="34" t="s">
        <v>29</v>
      </c>
      <c r="S88" s="34" t="s">
        <v>30</v>
      </c>
      <c r="T88" s="35">
        <v>46203</v>
      </c>
      <c r="U88" s="34">
        <v>3.9</v>
      </c>
      <c r="V88" s="34">
        <v>4.7</v>
      </c>
      <c r="W88" s="34" t="s">
        <v>407</v>
      </c>
      <c r="X88" s="34" t="s">
        <v>654</v>
      </c>
    </row>
    <row r="89" spans="1:24" x14ac:dyDescent="0.3">
      <c r="A89" s="34" t="s">
        <v>172</v>
      </c>
      <c r="B89" s="35">
        <v>45594</v>
      </c>
      <c r="C89" s="34" t="s">
        <v>40</v>
      </c>
      <c r="D89" s="34" t="s">
        <v>24</v>
      </c>
      <c r="E89" s="36">
        <v>45</v>
      </c>
      <c r="F89" s="34" t="s">
        <v>50</v>
      </c>
      <c r="G89" s="34" t="s">
        <v>51</v>
      </c>
      <c r="H89" s="34" t="s">
        <v>63</v>
      </c>
      <c r="I89" s="34">
        <v>16.3</v>
      </c>
      <c r="J89" s="36">
        <v>79500</v>
      </c>
      <c r="K89" s="36">
        <v>8900</v>
      </c>
      <c r="L89" s="34">
        <v>4.3</v>
      </c>
      <c r="M89" s="36">
        <v>25</v>
      </c>
      <c r="N89" s="36">
        <v>11</v>
      </c>
      <c r="O89" s="36">
        <v>11</v>
      </c>
      <c r="P89" s="34">
        <v>2.4</v>
      </c>
      <c r="Q89" s="34" t="s">
        <v>28</v>
      </c>
      <c r="R89" s="34" t="s">
        <v>29</v>
      </c>
      <c r="S89" s="34" t="s">
        <v>43</v>
      </c>
      <c r="T89" s="35">
        <v>46203</v>
      </c>
      <c r="U89" s="34">
        <v>4.2</v>
      </c>
      <c r="V89" s="34">
        <v>4.9000000000000004</v>
      </c>
      <c r="W89" s="34" t="s">
        <v>407</v>
      </c>
      <c r="X89" s="34" t="s">
        <v>655</v>
      </c>
    </row>
    <row r="90" spans="1:24" x14ac:dyDescent="0.3">
      <c r="A90" s="34" t="s">
        <v>178</v>
      </c>
      <c r="B90" s="35">
        <v>45941</v>
      </c>
      <c r="C90" s="34" t="s">
        <v>54</v>
      </c>
      <c r="D90" s="34" t="s">
        <v>41</v>
      </c>
      <c r="E90" s="36">
        <v>43</v>
      </c>
      <c r="F90" s="34" t="s">
        <v>57</v>
      </c>
      <c r="G90" s="34" t="s">
        <v>26</v>
      </c>
      <c r="H90" s="34" t="s">
        <v>55</v>
      </c>
      <c r="I90" s="34">
        <v>21.1</v>
      </c>
      <c r="J90" s="36">
        <v>104900</v>
      </c>
      <c r="K90" s="36">
        <v>10000</v>
      </c>
      <c r="L90" s="34">
        <v>2.6</v>
      </c>
      <c r="M90" s="36">
        <v>20</v>
      </c>
      <c r="N90" s="36">
        <v>15</v>
      </c>
      <c r="O90" s="36">
        <v>28</v>
      </c>
      <c r="P90" s="34">
        <v>4.2</v>
      </c>
      <c r="Q90" s="34" t="s">
        <v>28</v>
      </c>
      <c r="R90" s="34" t="s">
        <v>28</v>
      </c>
      <c r="S90" s="34" t="s">
        <v>30</v>
      </c>
      <c r="T90" s="35">
        <v>46203</v>
      </c>
      <c r="U90" s="34">
        <v>3.1</v>
      </c>
      <c r="V90" s="34">
        <v>3.3</v>
      </c>
      <c r="W90" s="34" t="s">
        <v>407</v>
      </c>
      <c r="X90" s="34" t="s">
        <v>656</v>
      </c>
    </row>
    <row r="91" spans="1:24" x14ac:dyDescent="0.3">
      <c r="A91" s="34" t="s">
        <v>196</v>
      </c>
      <c r="B91" s="35">
        <v>45085</v>
      </c>
      <c r="C91" s="34" t="s">
        <v>48</v>
      </c>
      <c r="D91" s="34" t="s">
        <v>24</v>
      </c>
      <c r="E91" s="36">
        <v>34</v>
      </c>
      <c r="F91" s="34" t="s">
        <v>57</v>
      </c>
      <c r="G91" s="34" t="s">
        <v>33</v>
      </c>
      <c r="H91" s="34" t="s">
        <v>63</v>
      </c>
      <c r="I91" s="34">
        <v>6.8</v>
      </c>
      <c r="J91" s="36">
        <v>87300</v>
      </c>
      <c r="K91" s="36">
        <v>3100</v>
      </c>
      <c r="L91" s="34">
        <v>2.6</v>
      </c>
      <c r="M91" s="36">
        <v>8</v>
      </c>
      <c r="N91" s="36">
        <v>15</v>
      </c>
      <c r="O91" s="36">
        <v>30</v>
      </c>
      <c r="P91" s="34">
        <v>3.4</v>
      </c>
      <c r="Q91" s="34" t="s">
        <v>28</v>
      </c>
      <c r="R91" s="34" t="s">
        <v>28</v>
      </c>
      <c r="S91" s="34" t="s">
        <v>60</v>
      </c>
      <c r="T91" s="35">
        <v>46203</v>
      </c>
      <c r="U91" s="34">
        <v>3.6</v>
      </c>
      <c r="V91" s="34">
        <v>4.4000000000000004</v>
      </c>
      <c r="W91" s="34" t="s">
        <v>405</v>
      </c>
      <c r="X91" s="34" t="s">
        <v>657</v>
      </c>
    </row>
    <row r="92" spans="1:24" x14ac:dyDescent="0.3">
      <c r="A92" s="34" t="s">
        <v>203</v>
      </c>
      <c r="B92" s="35">
        <v>45389</v>
      </c>
      <c r="C92" s="34" t="s">
        <v>48</v>
      </c>
      <c r="D92" s="34" t="s">
        <v>24</v>
      </c>
      <c r="E92" s="36">
        <v>55</v>
      </c>
      <c r="F92" s="34" t="s">
        <v>50</v>
      </c>
      <c r="G92" s="34" t="s">
        <v>26</v>
      </c>
      <c r="H92" s="34" t="s">
        <v>37</v>
      </c>
      <c r="I92" s="34">
        <v>27.4</v>
      </c>
      <c r="J92" s="36">
        <v>137000</v>
      </c>
      <c r="K92" s="36">
        <v>10300</v>
      </c>
      <c r="L92" s="34">
        <v>3.3</v>
      </c>
      <c r="M92" s="36">
        <v>30</v>
      </c>
      <c r="N92" s="36">
        <v>10</v>
      </c>
      <c r="O92" s="36">
        <v>24</v>
      </c>
      <c r="P92" s="34">
        <v>3.2</v>
      </c>
      <c r="Q92" s="34" t="s">
        <v>28</v>
      </c>
      <c r="R92" s="34" t="s">
        <v>28</v>
      </c>
      <c r="S92" s="34" t="s">
        <v>30</v>
      </c>
      <c r="T92" s="35">
        <v>46203</v>
      </c>
      <c r="U92" s="34">
        <v>3.9</v>
      </c>
      <c r="V92" s="34">
        <v>4.0999999999999996</v>
      </c>
      <c r="W92" s="34" t="s">
        <v>407</v>
      </c>
      <c r="X92" s="34" t="s">
        <v>658</v>
      </c>
    </row>
    <row r="93" spans="1:24" x14ac:dyDescent="0.3">
      <c r="A93" s="34" t="s">
        <v>215</v>
      </c>
      <c r="B93" s="35">
        <v>45914</v>
      </c>
      <c r="C93" s="34" t="s">
        <v>48</v>
      </c>
      <c r="D93" s="34" t="s">
        <v>41</v>
      </c>
      <c r="E93" s="36">
        <v>57</v>
      </c>
      <c r="F93" s="34" t="s">
        <v>57</v>
      </c>
      <c r="G93" s="34" t="s">
        <v>51</v>
      </c>
      <c r="H93" s="34" t="s">
        <v>27</v>
      </c>
      <c r="I93" s="34">
        <v>31.4</v>
      </c>
      <c r="J93" s="36">
        <v>128300</v>
      </c>
      <c r="K93" s="36">
        <v>6300</v>
      </c>
      <c r="L93" s="34">
        <v>4</v>
      </c>
      <c r="M93" s="36">
        <v>23</v>
      </c>
      <c r="N93" s="36">
        <v>15</v>
      </c>
      <c r="O93" s="36">
        <v>14</v>
      </c>
      <c r="P93" s="34">
        <v>3.3</v>
      </c>
      <c r="Q93" s="34" t="s">
        <v>28</v>
      </c>
      <c r="R93" s="34" t="s">
        <v>29</v>
      </c>
      <c r="S93" s="34" t="s">
        <v>43</v>
      </c>
      <c r="T93" s="35">
        <v>46203</v>
      </c>
      <c r="U93" s="34">
        <v>3.5</v>
      </c>
      <c r="V93" s="34">
        <v>3.7</v>
      </c>
      <c r="W93" s="34" t="s">
        <v>407</v>
      </c>
      <c r="X93" s="34" t="s">
        <v>659</v>
      </c>
    </row>
    <row r="94" spans="1:24" x14ac:dyDescent="0.3">
      <c r="A94" s="34" t="s">
        <v>237</v>
      </c>
      <c r="B94" s="35">
        <v>45859</v>
      </c>
      <c r="C94" s="34" t="s">
        <v>40</v>
      </c>
      <c r="D94" s="34" t="s">
        <v>41</v>
      </c>
      <c r="E94" s="36">
        <v>32</v>
      </c>
      <c r="F94" s="34" t="s">
        <v>50</v>
      </c>
      <c r="G94" s="34" t="s">
        <v>26</v>
      </c>
      <c r="H94" s="34" t="s">
        <v>37</v>
      </c>
      <c r="I94" s="34">
        <v>6.9</v>
      </c>
      <c r="J94" s="36">
        <v>54200</v>
      </c>
      <c r="K94" s="36">
        <v>1400</v>
      </c>
      <c r="L94" s="34">
        <v>2.7</v>
      </c>
      <c r="M94" s="36">
        <v>32</v>
      </c>
      <c r="N94" s="36">
        <v>13</v>
      </c>
      <c r="O94" s="36">
        <v>11</v>
      </c>
      <c r="P94" s="34">
        <v>3.2</v>
      </c>
      <c r="Q94" s="34" t="s">
        <v>28</v>
      </c>
      <c r="R94" s="34" t="s">
        <v>28</v>
      </c>
      <c r="S94" s="34" t="s">
        <v>34</v>
      </c>
      <c r="T94" s="35">
        <v>46203</v>
      </c>
      <c r="U94" s="34">
        <v>3</v>
      </c>
      <c r="V94" s="34">
        <v>3.8</v>
      </c>
      <c r="W94" s="34" t="s">
        <v>405</v>
      </c>
      <c r="X94" s="34" t="s">
        <v>660</v>
      </c>
    </row>
    <row r="95" spans="1:24" x14ac:dyDescent="0.3">
      <c r="A95" s="34" t="s">
        <v>252</v>
      </c>
      <c r="B95" s="35">
        <v>45988</v>
      </c>
      <c r="C95" s="34" t="s">
        <v>36</v>
      </c>
      <c r="D95" s="34" t="s">
        <v>41</v>
      </c>
      <c r="E95" s="36">
        <v>58</v>
      </c>
      <c r="F95" s="34" t="s">
        <v>50</v>
      </c>
      <c r="G95" s="34" t="s">
        <v>33</v>
      </c>
      <c r="H95" s="34" t="s">
        <v>27</v>
      </c>
      <c r="I95" s="34">
        <v>33</v>
      </c>
      <c r="J95" s="36">
        <v>152800</v>
      </c>
      <c r="K95" s="36">
        <v>11400</v>
      </c>
      <c r="L95" s="34">
        <v>3.1</v>
      </c>
      <c r="M95" s="36">
        <v>34</v>
      </c>
      <c r="N95" s="36">
        <v>9</v>
      </c>
      <c r="O95" s="36">
        <v>11</v>
      </c>
      <c r="P95" s="34">
        <v>3.6</v>
      </c>
      <c r="Q95" s="34" t="s">
        <v>28</v>
      </c>
      <c r="R95" s="34" t="s">
        <v>28</v>
      </c>
      <c r="S95" s="34" t="s">
        <v>60</v>
      </c>
      <c r="T95" s="35">
        <v>46203</v>
      </c>
      <c r="U95" s="34">
        <v>3.8</v>
      </c>
      <c r="V95" s="34">
        <v>4.5999999999999996</v>
      </c>
      <c r="W95" s="34" t="s">
        <v>407</v>
      </c>
      <c r="X95" s="34" t="s">
        <v>661</v>
      </c>
    </row>
    <row r="96" spans="1:24" x14ac:dyDescent="0.3">
      <c r="A96" s="34" t="s">
        <v>263</v>
      </c>
      <c r="B96" s="35">
        <v>45989</v>
      </c>
      <c r="C96" s="34" t="s">
        <v>23</v>
      </c>
      <c r="D96" s="34" t="s">
        <v>24</v>
      </c>
      <c r="E96" s="36">
        <v>41</v>
      </c>
      <c r="F96" s="34" t="s">
        <v>57</v>
      </c>
      <c r="G96" s="34" t="s">
        <v>26</v>
      </c>
      <c r="H96" s="34" t="s">
        <v>37</v>
      </c>
      <c r="I96" s="34">
        <v>13.7</v>
      </c>
      <c r="J96" s="36">
        <v>84200</v>
      </c>
      <c r="K96" s="36">
        <v>4600</v>
      </c>
      <c r="L96" s="34">
        <v>3.5</v>
      </c>
      <c r="M96" s="36">
        <v>35</v>
      </c>
      <c r="N96" s="36">
        <v>16</v>
      </c>
      <c r="O96" s="36">
        <v>22</v>
      </c>
      <c r="P96" s="34">
        <v>2.7</v>
      </c>
      <c r="Q96" s="34" t="s">
        <v>28</v>
      </c>
      <c r="R96" s="34" t="s">
        <v>28</v>
      </c>
      <c r="S96" s="34" t="s">
        <v>30</v>
      </c>
      <c r="T96" s="35">
        <v>46203</v>
      </c>
      <c r="U96" s="34">
        <v>3.5</v>
      </c>
      <c r="V96" s="34">
        <v>3.6</v>
      </c>
      <c r="W96" s="34" t="s">
        <v>407</v>
      </c>
      <c r="X96" s="34" t="s">
        <v>662</v>
      </c>
    </row>
    <row r="97" spans="1:24" x14ac:dyDescent="0.3">
      <c r="A97" s="34" t="s">
        <v>273</v>
      </c>
      <c r="B97" s="35">
        <v>44922</v>
      </c>
      <c r="C97" s="34" t="s">
        <v>23</v>
      </c>
      <c r="D97" s="34" t="s">
        <v>41</v>
      </c>
      <c r="E97" s="36">
        <v>44</v>
      </c>
      <c r="F97" s="34" t="s">
        <v>50</v>
      </c>
      <c r="G97" s="34" t="s">
        <v>51</v>
      </c>
      <c r="H97" s="34" t="s">
        <v>63</v>
      </c>
      <c r="I97" s="34">
        <v>23.8</v>
      </c>
      <c r="J97" s="36">
        <v>124700</v>
      </c>
      <c r="K97" s="36">
        <v>7900</v>
      </c>
      <c r="L97" s="34">
        <v>3.8</v>
      </c>
      <c r="M97" s="36">
        <v>22</v>
      </c>
      <c r="N97" s="36">
        <v>11</v>
      </c>
      <c r="O97" s="36">
        <v>13</v>
      </c>
      <c r="P97" s="34">
        <v>3</v>
      </c>
      <c r="Q97" s="34" t="s">
        <v>28</v>
      </c>
      <c r="R97" s="34" t="s">
        <v>28</v>
      </c>
      <c r="S97" s="34" t="s">
        <v>38</v>
      </c>
      <c r="T97" s="35">
        <v>46203</v>
      </c>
      <c r="U97" s="34">
        <v>3.9</v>
      </c>
      <c r="V97" s="34">
        <v>4.5999999999999996</v>
      </c>
      <c r="W97" s="34" t="s">
        <v>407</v>
      </c>
      <c r="X97" s="34" t="s">
        <v>663</v>
      </c>
    </row>
    <row r="98" spans="1:24" x14ac:dyDescent="0.3">
      <c r="A98" s="34" t="s">
        <v>284</v>
      </c>
      <c r="B98" s="35">
        <v>45140</v>
      </c>
      <c r="C98" s="34" t="s">
        <v>32</v>
      </c>
      <c r="D98" s="34" t="s">
        <v>24</v>
      </c>
      <c r="E98" s="36">
        <v>49</v>
      </c>
      <c r="F98" s="34" t="s">
        <v>50</v>
      </c>
      <c r="G98" s="34" t="s">
        <v>26</v>
      </c>
      <c r="H98" s="34" t="s">
        <v>27</v>
      </c>
      <c r="I98" s="34">
        <v>21.7</v>
      </c>
      <c r="J98" s="36">
        <v>107400</v>
      </c>
      <c r="K98" s="36">
        <v>11300</v>
      </c>
      <c r="L98" s="34">
        <v>3.2</v>
      </c>
      <c r="M98" s="36">
        <v>13</v>
      </c>
      <c r="N98" s="36">
        <v>13</v>
      </c>
      <c r="O98" s="36">
        <v>7</v>
      </c>
      <c r="P98" s="34">
        <v>4.2</v>
      </c>
      <c r="Q98" s="34" t="s">
        <v>28</v>
      </c>
      <c r="R98" s="34" t="s">
        <v>28</v>
      </c>
      <c r="S98" s="34" t="s">
        <v>43</v>
      </c>
      <c r="T98" s="35">
        <v>46203</v>
      </c>
      <c r="U98" s="34">
        <v>4</v>
      </c>
      <c r="V98" s="34">
        <v>4.4000000000000004</v>
      </c>
      <c r="W98" s="34" t="s">
        <v>407</v>
      </c>
      <c r="X98" s="34" t="s">
        <v>664</v>
      </c>
    </row>
    <row r="99" spans="1:24" x14ac:dyDescent="0.3">
      <c r="A99" s="34" t="s">
        <v>301</v>
      </c>
      <c r="B99" s="35">
        <v>45178</v>
      </c>
      <c r="C99" s="34" t="s">
        <v>40</v>
      </c>
      <c r="D99" s="34" t="s">
        <v>41</v>
      </c>
      <c r="E99" s="36">
        <v>25</v>
      </c>
      <c r="F99" s="34" t="s">
        <v>57</v>
      </c>
      <c r="G99" s="34" t="s">
        <v>51</v>
      </c>
      <c r="H99" s="34" t="s">
        <v>55</v>
      </c>
      <c r="I99" s="34">
        <v>0</v>
      </c>
      <c r="J99" s="36">
        <v>28600</v>
      </c>
      <c r="K99" s="36">
        <v>1900</v>
      </c>
      <c r="L99" s="34">
        <v>2.4</v>
      </c>
      <c r="M99" s="36">
        <v>20</v>
      </c>
      <c r="N99" s="36">
        <v>16</v>
      </c>
      <c r="O99" s="36">
        <v>20</v>
      </c>
      <c r="P99" s="34">
        <v>5</v>
      </c>
      <c r="Q99" s="34" t="s">
        <v>28</v>
      </c>
      <c r="R99" s="34" t="s">
        <v>28</v>
      </c>
      <c r="S99" s="34" t="s">
        <v>60</v>
      </c>
      <c r="T99" s="35">
        <v>46203</v>
      </c>
      <c r="U99" s="34">
        <v>3.8</v>
      </c>
      <c r="V99" s="34">
        <v>3.8</v>
      </c>
      <c r="W99" s="34" t="s">
        <v>403</v>
      </c>
      <c r="X99" s="34" t="s">
        <v>665</v>
      </c>
    </row>
    <row r="100" spans="1:24" x14ac:dyDescent="0.3">
      <c r="A100" s="34" t="s">
        <v>317</v>
      </c>
      <c r="B100" s="35">
        <v>45049</v>
      </c>
      <c r="C100" s="34" t="s">
        <v>54</v>
      </c>
      <c r="D100" s="34" t="s">
        <v>24</v>
      </c>
      <c r="E100" s="36">
        <v>40</v>
      </c>
      <c r="F100" s="34" t="s">
        <v>50</v>
      </c>
      <c r="G100" s="34" t="s">
        <v>26</v>
      </c>
      <c r="H100" s="34" t="s">
        <v>37</v>
      </c>
      <c r="I100" s="34">
        <v>10.5</v>
      </c>
      <c r="J100" s="36">
        <v>74300</v>
      </c>
      <c r="K100" s="36">
        <v>5800</v>
      </c>
      <c r="L100" s="34">
        <v>3.7</v>
      </c>
      <c r="M100" s="36">
        <v>18</v>
      </c>
      <c r="N100" s="36">
        <v>14</v>
      </c>
      <c r="O100" s="36">
        <v>3</v>
      </c>
      <c r="P100" s="34">
        <v>3.7</v>
      </c>
      <c r="Q100" s="34" t="s">
        <v>28</v>
      </c>
      <c r="R100" s="34" t="s">
        <v>28</v>
      </c>
      <c r="S100" s="34" t="s">
        <v>30</v>
      </c>
      <c r="T100" s="35">
        <v>46203</v>
      </c>
      <c r="U100" s="34">
        <v>2.6</v>
      </c>
      <c r="V100" s="34">
        <v>3.1</v>
      </c>
      <c r="W100" s="34" t="s">
        <v>407</v>
      </c>
      <c r="X100" s="34" t="s">
        <v>666</v>
      </c>
    </row>
    <row r="101" spans="1:24" x14ac:dyDescent="0.3">
      <c r="A101" s="34" t="s">
        <v>321</v>
      </c>
      <c r="B101" s="35">
        <v>45168</v>
      </c>
      <c r="C101" s="34" t="s">
        <v>36</v>
      </c>
      <c r="D101" s="34" t="s">
        <v>41</v>
      </c>
      <c r="E101" s="36">
        <v>24</v>
      </c>
      <c r="F101" s="34" t="s">
        <v>50</v>
      </c>
      <c r="G101" s="34" t="s">
        <v>33</v>
      </c>
      <c r="H101" s="34" t="s">
        <v>27</v>
      </c>
      <c r="I101" s="34">
        <v>0</v>
      </c>
      <c r="J101" s="36">
        <v>35900</v>
      </c>
      <c r="K101" s="36">
        <v>1900</v>
      </c>
      <c r="L101" s="34">
        <v>3.8</v>
      </c>
      <c r="M101" s="36">
        <v>19</v>
      </c>
      <c r="N101" s="36">
        <v>6</v>
      </c>
      <c r="O101" s="36">
        <v>7</v>
      </c>
      <c r="P101" s="34">
        <v>4.3</v>
      </c>
      <c r="Q101" s="34" t="s">
        <v>28</v>
      </c>
      <c r="R101" s="34" t="s">
        <v>28</v>
      </c>
      <c r="S101" s="34" t="s">
        <v>60</v>
      </c>
      <c r="T101" s="35">
        <v>46203</v>
      </c>
      <c r="U101" s="34">
        <v>3.2</v>
      </c>
      <c r="V101" s="34">
        <v>3.6</v>
      </c>
      <c r="W101" s="34" t="s">
        <v>403</v>
      </c>
      <c r="X101" s="34" t="s">
        <v>667</v>
      </c>
    </row>
    <row r="102" spans="1:24" x14ac:dyDescent="0.3">
      <c r="A102" s="34" t="s">
        <v>344</v>
      </c>
      <c r="B102" s="35">
        <v>46004</v>
      </c>
      <c r="C102" s="34" t="s">
        <v>32</v>
      </c>
      <c r="D102" s="34" t="s">
        <v>24</v>
      </c>
      <c r="E102" s="36">
        <v>23</v>
      </c>
      <c r="F102" s="34" t="s">
        <v>50</v>
      </c>
      <c r="G102" s="34" t="s">
        <v>26</v>
      </c>
      <c r="H102" s="34" t="s">
        <v>55</v>
      </c>
      <c r="I102" s="34">
        <v>7.2</v>
      </c>
      <c r="J102" s="36">
        <v>63400</v>
      </c>
      <c r="K102" s="36">
        <v>7000</v>
      </c>
      <c r="L102" s="34">
        <v>3.6</v>
      </c>
      <c r="M102" s="36">
        <v>17</v>
      </c>
      <c r="N102" s="36">
        <v>7</v>
      </c>
      <c r="O102" s="36">
        <v>24</v>
      </c>
      <c r="P102" s="34">
        <v>4.2</v>
      </c>
      <c r="Q102" s="34" t="s">
        <v>28</v>
      </c>
      <c r="R102" s="34" t="s">
        <v>28</v>
      </c>
      <c r="S102" s="34" t="s">
        <v>38</v>
      </c>
      <c r="T102" s="35">
        <v>46203</v>
      </c>
      <c r="U102" s="34">
        <v>2.7</v>
      </c>
      <c r="V102" s="34">
        <v>3.1</v>
      </c>
      <c r="W102" s="34" t="s">
        <v>407</v>
      </c>
      <c r="X102" s="34" t="s">
        <v>668</v>
      </c>
    </row>
    <row r="103" spans="1:24" x14ac:dyDescent="0.3">
      <c r="A103" s="34" t="s">
        <v>47</v>
      </c>
      <c r="B103" s="35">
        <v>45307</v>
      </c>
      <c r="C103" s="34" t="s">
        <v>48</v>
      </c>
      <c r="D103" s="34" t="s">
        <v>41</v>
      </c>
      <c r="E103" s="36">
        <v>32</v>
      </c>
      <c r="F103" s="34" t="s">
        <v>25</v>
      </c>
      <c r="G103" s="34" t="s">
        <v>26</v>
      </c>
      <c r="H103" s="34" t="s">
        <v>46</v>
      </c>
      <c r="I103" s="34">
        <v>3.9</v>
      </c>
      <c r="J103" s="36">
        <v>50600</v>
      </c>
      <c r="K103" s="36">
        <v>1200</v>
      </c>
      <c r="L103" s="34">
        <v>1.7</v>
      </c>
      <c r="M103" s="36">
        <v>12</v>
      </c>
      <c r="N103" s="36">
        <v>11</v>
      </c>
      <c r="O103" s="36">
        <v>2</v>
      </c>
      <c r="P103" s="34">
        <v>5</v>
      </c>
      <c r="Q103" s="34" t="s">
        <v>28</v>
      </c>
      <c r="R103" s="34" t="s">
        <v>28</v>
      </c>
      <c r="S103" s="34" t="s">
        <v>38</v>
      </c>
      <c r="T103" s="35">
        <v>45993</v>
      </c>
      <c r="U103" s="34">
        <v>4.2</v>
      </c>
      <c r="V103" s="34">
        <v>4</v>
      </c>
      <c r="W103" s="34" t="s">
        <v>405</v>
      </c>
      <c r="X103" s="34" t="s">
        <v>669</v>
      </c>
    </row>
    <row r="104" spans="1:24" x14ac:dyDescent="0.3">
      <c r="A104" s="34" t="s">
        <v>56</v>
      </c>
      <c r="B104" s="35">
        <v>44940</v>
      </c>
      <c r="C104" s="34" t="s">
        <v>40</v>
      </c>
      <c r="D104" s="34" t="s">
        <v>24</v>
      </c>
      <c r="E104" s="36">
        <v>22</v>
      </c>
      <c r="F104" s="34" t="s">
        <v>57</v>
      </c>
      <c r="G104" s="34" t="s">
        <v>26</v>
      </c>
      <c r="H104" s="34" t="s">
        <v>55</v>
      </c>
      <c r="I104" s="34">
        <v>0.3</v>
      </c>
      <c r="J104" s="36">
        <v>32600</v>
      </c>
      <c r="K104" s="36">
        <v>2700</v>
      </c>
      <c r="L104" s="34">
        <v>4.0999999999999996</v>
      </c>
      <c r="M104" s="36">
        <v>8</v>
      </c>
      <c r="N104" s="36">
        <v>10</v>
      </c>
      <c r="O104" s="36">
        <v>4</v>
      </c>
      <c r="P104" s="34">
        <v>4.5</v>
      </c>
      <c r="Q104" s="34" t="s">
        <v>28</v>
      </c>
      <c r="R104" s="34" t="s">
        <v>28</v>
      </c>
      <c r="S104" s="34" t="s">
        <v>38</v>
      </c>
      <c r="T104" s="35">
        <v>45148</v>
      </c>
      <c r="U104" s="34">
        <v>3.1</v>
      </c>
      <c r="V104" s="34">
        <v>3.1</v>
      </c>
      <c r="W104" s="34" t="s">
        <v>403</v>
      </c>
      <c r="X104" s="34" t="s">
        <v>670</v>
      </c>
    </row>
    <row r="105" spans="1:24" x14ac:dyDescent="0.3">
      <c r="A105" s="34" t="s">
        <v>58</v>
      </c>
      <c r="B105" s="35">
        <v>44356</v>
      </c>
      <c r="C105" s="34" t="s">
        <v>48</v>
      </c>
      <c r="D105" s="34" t="s">
        <v>41</v>
      </c>
      <c r="E105" s="36">
        <v>24</v>
      </c>
      <c r="F105" s="34" t="s">
        <v>25</v>
      </c>
      <c r="G105" s="34" t="s">
        <v>26</v>
      </c>
      <c r="H105" s="34" t="s">
        <v>55</v>
      </c>
      <c r="I105" s="34">
        <v>4.7</v>
      </c>
      <c r="J105" s="36">
        <v>56100</v>
      </c>
      <c r="K105" s="36">
        <v>2000</v>
      </c>
      <c r="L105" s="34">
        <v>3.1</v>
      </c>
      <c r="M105" s="36">
        <v>8</v>
      </c>
      <c r="N105" s="36">
        <v>9</v>
      </c>
      <c r="O105" s="36">
        <v>18</v>
      </c>
      <c r="P105" s="34">
        <v>3.6</v>
      </c>
      <c r="Q105" s="34" t="s">
        <v>29</v>
      </c>
      <c r="R105" s="34" t="s">
        <v>28</v>
      </c>
      <c r="S105" s="34" t="s">
        <v>43</v>
      </c>
      <c r="T105" s="35">
        <v>45263</v>
      </c>
      <c r="U105" s="34">
        <v>3.1</v>
      </c>
      <c r="V105" s="34">
        <v>3.3</v>
      </c>
      <c r="W105" s="34" t="s">
        <v>405</v>
      </c>
      <c r="X105" s="34" t="s">
        <v>671</v>
      </c>
    </row>
    <row r="106" spans="1:24" x14ac:dyDescent="0.3">
      <c r="A106" s="34" t="s">
        <v>70</v>
      </c>
      <c r="B106" s="35">
        <v>44541</v>
      </c>
      <c r="C106" s="34" t="s">
        <v>36</v>
      </c>
      <c r="D106" s="34" t="s">
        <v>41</v>
      </c>
      <c r="E106" s="36">
        <v>28</v>
      </c>
      <c r="F106" s="34" t="s">
        <v>57</v>
      </c>
      <c r="G106" s="34" t="s">
        <v>26</v>
      </c>
      <c r="H106" s="34" t="s">
        <v>55</v>
      </c>
      <c r="I106" s="34">
        <v>5.9</v>
      </c>
      <c r="J106" s="36">
        <v>64900</v>
      </c>
      <c r="K106" s="36">
        <v>3300</v>
      </c>
      <c r="L106" s="34">
        <v>4.3</v>
      </c>
      <c r="M106" s="36">
        <v>36</v>
      </c>
      <c r="N106" s="36">
        <v>16</v>
      </c>
      <c r="O106" s="36">
        <v>15</v>
      </c>
      <c r="P106" s="34">
        <v>4.0999999999999996</v>
      </c>
      <c r="Q106" s="34" t="s">
        <v>29</v>
      </c>
      <c r="R106" s="34" t="s">
        <v>29</v>
      </c>
      <c r="S106" s="34" t="s">
        <v>34</v>
      </c>
      <c r="T106" s="35">
        <v>45912</v>
      </c>
      <c r="U106" s="34">
        <v>2.4</v>
      </c>
      <c r="V106" s="34">
        <v>2.6</v>
      </c>
      <c r="W106" s="34" t="s">
        <v>405</v>
      </c>
      <c r="X106" s="34" t="s">
        <v>672</v>
      </c>
    </row>
    <row r="107" spans="1:24" x14ac:dyDescent="0.3">
      <c r="A107" s="34" t="s">
        <v>76</v>
      </c>
      <c r="B107" s="35">
        <v>45213</v>
      </c>
      <c r="C107" s="34" t="s">
        <v>23</v>
      </c>
      <c r="D107" s="34" t="s">
        <v>41</v>
      </c>
      <c r="E107" s="36">
        <v>30</v>
      </c>
      <c r="F107" s="34" t="s">
        <v>25</v>
      </c>
      <c r="G107" s="34" t="s">
        <v>26</v>
      </c>
      <c r="H107" s="34" t="s">
        <v>46</v>
      </c>
      <c r="I107" s="34">
        <v>4.9000000000000004</v>
      </c>
      <c r="J107" s="36">
        <v>46600</v>
      </c>
      <c r="K107" s="36">
        <v>3600</v>
      </c>
      <c r="L107" s="34">
        <v>3.8</v>
      </c>
      <c r="M107" s="36">
        <v>34</v>
      </c>
      <c r="N107" s="36">
        <v>11</v>
      </c>
      <c r="O107" s="36">
        <v>9</v>
      </c>
      <c r="P107" s="34">
        <v>3</v>
      </c>
      <c r="Q107" s="34" t="s">
        <v>28</v>
      </c>
      <c r="R107" s="34" t="s">
        <v>28</v>
      </c>
      <c r="S107" s="34" t="s">
        <v>34</v>
      </c>
      <c r="T107" s="35">
        <v>46001</v>
      </c>
      <c r="U107" s="34">
        <v>3.4</v>
      </c>
      <c r="V107" s="34">
        <v>3.9</v>
      </c>
      <c r="W107" s="34" t="s">
        <v>405</v>
      </c>
      <c r="X107" s="34" t="s">
        <v>673</v>
      </c>
    </row>
    <row r="108" spans="1:24" x14ac:dyDescent="0.3">
      <c r="A108" s="34" t="s">
        <v>78</v>
      </c>
      <c r="B108" s="35">
        <v>44676</v>
      </c>
      <c r="C108" s="34" t="s">
        <v>23</v>
      </c>
      <c r="D108" s="34" t="s">
        <v>41</v>
      </c>
      <c r="E108" s="36">
        <v>31</v>
      </c>
      <c r="F108" s="34" t="s">
        <v>25</v>
      </c>
      <c r="G108" s="34" t="s">
        <v>26</v>
      </c>
      <c r="H108" s="34" t="s">
        <v>27</v>
      </c>
      <c r="I108" s="34">
        <v>4.8</v>
      </c>
      <c r="J108" s="36">
        <v>56200</v>
      </c>
      <c r="K108" s="36">
        <v>6200</v>
      </c>
      <c r="L108" s="34">
        <v>5</v>
      </c>
      <c r="M108" s="36">
        <v>12</v>
      </c>
      <c r="N108" s="36">
        <v>8</v>
      </c>
      <c r="O108" s="36">
        <v>2</v>
      </c>
      <c r="P108" s="34">
        <v>3.4</v>
      </c>
      <c r="Q108" s="34" t="s">
        <v>28</v>
      </c>
      <c r="R108" s="34" t="s">
        <v>29</v>
      </c>
      <c r="S108" s="34" t="s">
        <v>30</v>
      </c>
      <c r="T108" s="35">
        <v>45057</v>
      </c>
      <c r="U108" s="34">
        <v>3.2</v>
      </c>
      <c r="V108" s="34">
        <v>3.6</v>
      </c>
      <c r="W108" s="34" t="s">
        <v>405</v>
      </c>
      <c r="X108" s="34" t="s">
        <v>674</v>
      </c>
    </row>
    <row r="109" spans="1:24" x14ac:dyDescent="0.3">
      <c r="A109" s="34" t="s">
        <v>84</v>
      </c>
      <c r="B109" s="35">
        <v>44721</v>
      </c>
      <c r="C109" s="34" t="s">
        <v>23</v>
      </c>
      <c r="D109" s="34" t="s">
        <v>24</v>
      </c>
      <c r="E109" s="36">
        <v>30</v>
      </c>
      <c r="F109" s="34" t="s">
        <v>25</v>
      </c>
      <c r="G109" s="34" t="s">
        <v>26</v>
      </c>
      <c r="H109" s="34" t="s">
        <v>63</v>
      </c>
      <c r="I109" s="34">
        <v>5.2</v>
      </c>
      <c r="J109" s="36">
        <v>44200</v>
      </c>
      <c r="K109" s="36">
        <v>4600</v>
      </c>
      <c r="L109" s="34">
        <v>2.5</v>
      </c>
      <c r="M109" s="36">
        <v>25</v>
      </c>
      <c r="N109" s="36">
        <v>9</v>
      </c>
      <c r="O109" s="36">
        <v>12</v>
      </c>
      <c r="P109" s="34">
        <v>4.0999999999999996</v>
      </c>
      <c r="Q109" s="34" t="s">
        <v>28</v>
      </c>
      <c r="R109" s="34" t="s">
        <v>28</v>
      </c>
      <c r="S109" s="34" t="s">
        <v>30</v>
      </c>
      <c r="T109" s="35">
        <v>45395</v>
      </c>
      <c r="U109" s="34">
        <v>4.0999999999999996</v>
      </c>
      <c r="V109" s="34">
        <v>4.3</v>
      </c>
      <c r="W109" s="34" t="s">
        <v>405</v>
      </c>
      <c r="X109" s="34" t="s">
        <v>675</v>
      </c>
    </row>
    <row r="110" spans="1:24" x14ac:dyDescent="0.3">
      <c r="A110" s="34" t="s">
        <v>89</v>
      </c>
      <c r="B110" s="35">
        <v>44416</v>
      </c>
      <c r="C110" s="34" t="s">
        <v>48</v>
      </c>
      <c r="D110" s="34" t="s">
        <v>24</v>
      </c>
      <c r="E110" s="36">
        <v>26</v>
      </c>
      <c r="F110" s="34" t="s">
        <v>25</v>
      </c>
      <c r="G110" s="34" t="s">
        <v>26</v>
      </c>
      <c r="H110" s="34" t="s">
        <v>46</v>
      </c>
      <c r="I110" s="34">
        <v>6.8</v>
      </c>
      <c r="J110" s="36">
        <v>59100</v>
      </c>
      <c r="K110" s="36">
        <v>3900</v>
      </c>
      <c r="L110" s="34">
        <v>4</v>
      </c>
      <c r="M110" s="36">
        <v>33</v>
      </c>
      <c r="N110" s="36">
        <v>12</v>
      </c>
      <c r="O110" s="36">
        <v>3</v>
      </c>
      <c r="P110" s="34">
        <v>3.5</v>
      </c>
      <c r="Q110" s="34" t="s">
        <v>28</v>
      </c>
      <c r="R110" s="34" t="s">
        <v>29</v>
      </c>
      <c r="S110" s="34" t="s">
        <v>34</v>
      </c>
      <c r="T110" s="35">
        <v>45530</v>
      </c>
      <c r="U110" s="34">
        <v>3.3</v>
      </c>
      <c r="V110" s="34">
        <v>3.7</v>
      </c>
      <c r="W110" s="34" t="s">
        <v>405</v>
      </c>
      <c r="X110" s="34" t="s">
        <v>676</v>
      </c>
    </row>
    <row r="111" spans="1:24" x14ac:dyDescent="0.3">
      <c r="A111" s="34" t="s">
        <v>93</v>
      </c>
      <c r="B111" s="35">
        <v>44950</v>
      </c>
      <c r="C111" s="34" t="s">
        <v>36</v>
      </c>
      <c r="D111" s="34" t="s">
        <v>24</v>
      </c>
      <c r="E111" s="36">
        <v>22</v>
      </c>
      <c r="F111" s="34" t="s">
        <v>25</v>
      </c>
      <c r="G111" s="34" t="s">
        <v>51</v>
      </c>
      <c r="H111" s="34" t="s">
        <v>37</v>
      </c>
      <c r="I111" s="34">
        <v>0</v>
      </c>
      <c r="J111" s="36">
        <v>32600</v>
      </c>
      <c r="K111" s="36">
        <v>3700</v>
      </c>
      <c r="L111" s="34">
        <v>2.9</v>
      </c>
      <c r="M111" s="36">
        <v>28</v>
      </c>
      <c r="N111" s="36">
        <v>14</v>
      </c>
      <c r="O111" s="36">
        <v>26</v>
      </c>
      <c r="P111" s="34">
        <v>3.2</v>
      </c>
      <c r="Q111" s="34" t="s">
        <v>28</v>
      </c>
      <c r="R111" s="34" t="s">
        <v>28</v>
      </c>
      <c r="S111" s="34" t="s">
        <v>43</v>
      </c>
      <c r="T111" s="35">
        <v>45689</v>
      </c>
      <c r="U111" s="34">
        <v>2.1</v>
      </c>
      <c r="V111" s="34">
        <v>2.5</v>
      </c>
      <c r="W111" s="34" t="s">
        <v>403</v>
      </c>
      <c r="X111" s="34" t="s">
        <v>677</v>
      </c>
    </row>
    <row r="112" spans="1:24" x14ac:dyDescent="0.3">
      <c r="A112" s="34" t="s">
        <v>98</v>
      </c>
      <c r="B112" s="35">
        <v>45167</v>
      </c>
      <c r="C112" s="34" t="s">
        <v>36</v>
      </c>
      <c r="D112" s="34" t="s">
        <v>41</v>
      </c>
      <c r="E112" s="36">
        <v>22</v>
      </c>
      <c r="F112" s="34" t="s">
        <v>57</v>
      </c>
      <c r="G112" s="34" t="s">
        <v>51</v>
      </c>
      <c r="H112" s="34" t="s">
        <v>52</v>
      </c>
      <c r="I112" s="34">
        <v>0</v>
      </c>
      <c r="J112" s="36">
        <v>35500</v>
      </c>
      <c r="K112" s="36">
        <v>3300</v>
      </c>
      <c r="L112" s="34">
        <v>4.2</v>
      </c>
      <c r="M112" s="36">
        <v>26</v>
      </c>
      <c r="N112" s="36">
        <v>7</v>
      </c>
      <c r="O112" s="36">
        <v>30</v>
      </c>
      <c r="P112" s="34">
        <v>3.4</v>
      </c>
      <c r="Q112" s="34" t="s">
        <v>28</v>
      </c>
      <c r="R112" s="34" t="s">
        <v>28</v>
      </c>
      <c r="S112" s="34" t="s">
        <v>43</v>
      </c>
      <c r="T112" s="35">
        <v>45841</v>
      </c>
      <c r="U112" s="34">
        <v>3.4</v>
      </c>
      <c r="V112" s="34">
        <v>3.8</v>
      </c>
      <c r="W112" s="34" t="s">
        <v>403</v>
      </c>
      <c r="X112" s="34" t="s">
        <v>678</v>
      </c>
    </row>
    <row r="113" spans="1:24" x14ac:dyDescent="0.3">
      <c r="A113" s="34" t="s">
        <v>104</v>
      </c>
      <c r="B113" s="35">
        <v>44925</v>
      </c>
      <c r="C113" s="34" t="s">
        <v>32</v>
      </c>
      <c r="D113" s="34" t="s">
        <v>24</v>
      </c>
      <c r="E113" s="36">
        <v>25</v>
      </c>
      <c r="F113" s="34" t="s">
        <v>25</v>
      </c>
      <c r="G113" s="34" t="s">
        <v>26</v>
      </c>
      <c r="H113" s="34" t="s">
        <v>37</v>
      </c>
      <c r="I113" s="34">
        <v>0</v>
      </c>
      <c r="J113" s="36">
        <v>37500</v>
      </c>
      <c r="K113" s="36">
        <v>1200</v>
      </c>
      <c r="L113" s="34">
        <v>2.5</v>
      </c>
      <c r="M113" s="36">
        <v>23</v>
      </c>
      <c r="N113" s="36">
        <v>12</v>
      </c>
      <c r="O113" s="36">
        <v>27</v>
      </c>
      <c r="P113" s="34">
        <v>3.9</v>
      </c>
      <c r="Q113" s="34" t="s">
        <v>28</v>
      </c>
      <c r="R113" s="34" t="s">
        <v>28</v>
      </c>
      <c r="S113" s="34" t="s">
        <v>43</v>
      </c>
      <c r="T113" s="35">
        <v>45814</v>
      </c>
      <c r="U113" s="34">
        <v>3.1</v>
      </c>
      <c r="V113" s="34">
        <v>3.1</v>
      </c>
      <c r="W113" s="34" t="s">
        <v>403</v>
      </c>
      <c r="X113" s="34" t="s">
        <v>679</v>
      </c>
    </row>
    <row r="114" spans="1:24" x14ac:dyDescent="0.3">
      <c r="A114" s="34" t="s">
        <v>114</v>
      </c>
      <c r="B114" s="35">
        <v>44214</v>
      </c>
      <c r="C114" s="34" t="s">
        <v>40</v>
      </c>
      <c r="D114" s="34" t="s">
        <v>41</v>
      </c>
      <c r="E114" s="36">
        <v>29</v>
      </c>
      <c r="F114" s="34" t="s">
        <v>25</v>
      </c>
      <c r="G114" s="34" t="s">
        <v>26</v>
      </c>
      <c r="H114" s="34" t="s">
        <v>55</v>
      </c>
      <c r="I114" s="34">
        <v>5.5</v>
      </c>
      <c r="J114" s="36">
        <v>44000</v>
      </c>
      <c r="K114" s="36">
        <v>5300</v>
      </c>
      <c r="L114" s="34">
        <v>3</v>
      </c>
      <c r="M114" s="36">
        <v>16</v>
      </c>
      <c r="N114" s="36">
        <v>9</v>
      </c>
      <c r="O114" s="36">
        <v>8</v>
      </c>
      <c r="P114" s="34">
        <v>3.7</v>
      </c>
      <c r="Q114" s="34" t="s">
        <v>28</v>
      </c>
      <c r="R114" s="34" t="s">
        <v>28</v>
      </c>
      <c r="S114" s="34" t="s">
        <v>34</v>
      </c>
      <c r="T114" s="35">
        <v>45226</v>
      </c>
      <c r="U114" s="34">
        <v>3.3</v>
      </c>
      <c r="V114" s="34">
        <v>3.8</v>
      </c>
      <c r="W114" s="34" t="s">
        <v>405</v>
      </c>
      <c r="X114" s="34" t="s">
        <v>680</v>
      </c>
    </row>
    <row r="115" spans="1:24" x14ac:dyDescent="0.3">
      <c r="A115" s="34" t="s">
        <v>117</v>
      </c>
      <c r="B115" s="35">
        <v>45142</v>
      </c>
      <c r="C115" s="34" t="s">
        <v>48</v>
      </c>
      <c r="D115" s="34" t="s">
        <v>41</v>
      </c>
      <c r="E115" s="36">
        <v>21</v>
      </c>
      <c r="F115" s="34" t="s">
        <v>57</v>
      </c>
      <c r="G115" s="34" t="s">
        <v>26</v>
      </c>
      <c r="H115" s="34" t="s">
        <v>37</v>
      </c>
      <c r="I115" s="34">
        <v>0</v>
      </c>
      <c r="J115" s="36">
        <v>35000</v>
      </c>
      <c r="K115" s="36">
        <v>3300</v>
      </c>
      <c r="L115" s="34">
        <v>4.4000000000000004</v>
      </c>
      <c r="M115" s="36">
        <v>23</v>
      </c>
      <c r="N115" s="36">
        <v>13</v>
      </c>
      <c r="O115" s="36">
        <v>3</v>
      </c>
      <c r="P115" s="34">
        <v>4.2</v>
      </c>
      <c r="Q115" s="34" t="s">
        <v>28</v>
      </c>
      <c r="R115" s="34" t="s">
        <v>28</v>
      </c>
      <c r="S115" s="34" t="s">
        <v>34</v>
      </c>
      <c r="T115" s="35">
        <v>45690</v>
      </c>
      <c r="U115" s="34">
        <v>2.5</v>
      </c>
      <c r="V115" s="34">
        <v>2.9</v>
      </c>
      <c r="W115" s="34" t="s">
        <v>403</v>
      </c>
      <c r="X115" s="34" t="s">
        <v>681</v>
      </c>
    </row>
    <row r="116" spans="1:24" x14ac:dyDescent="0.3">
      <c r="A116" s="34" t="s">
        <v>119</v>
      </c>
      <c r="B116" s="35">
        <v>44960</v>
      </c>
      <c r="C116" s="34" t="s">
        <v>32</v>
      </c>
      <c r="D116" s="34" t="s">
        <v>24</v>
      </c>
      <c r="E116" s="36">
        <v>22</v>
      </c>
      <c r="F116" s="34" t="s">
        <v>25</v>
      </c>
      <c r="G116" s="34" t="s">
        <v>26</v>
      </c>
      <c r="H116" s="34" t="s">
        <v>46</v>
      </c>
      <c r="I116" s="34">
        <v>0</v>
      </c>
      <c r="J116" s="36">
        <v>45700</v>
      </c>
      <c r="K116" s="36">
        <v>1300</v>
      </c>
      <c r="L116" s="34">
        <v>4</v>
      </c>
      <c r="M116" s="36">
        <v>15</v>
      </c>
      <c r="N116" s="36">
        <v>9</v>
      </c>
      <c r="O116" s="36">
        <v>30</v>
      </c>
      <c r="P116" s="34">
        <v>4.5</v>
      </c>
      <c r="Q116" s="34" t="s">
        <v>29</v>
      </c>
      <c r="R116" s="34" t="s">
        <v>28</v>
      </c>
      <c r="S116" s="34" t="s">
        <v>60</v>
      </c>
      <c r="T116" s="35">
        <v>46185</v>
      </c>
      <c r="U116" s="34">
        <v>4.5</v>
      </c>
      <c r="V116" s="34">
        <v>5</v>
      </c>
      <c r="W116" s="34" t="s">
        <v>403</v>
      </c>
      <c r="X116" s="34" t="s">
        <v>682</v>
      </c>
    </row>
    <row r="117" spans="1:24" x14ac:dyDescent="0.3">
      <c r="A117" s="34" t="s">
        <v>122</v>
      </c>
      <c r="B117" s="35">
        <v>45125</v>
      </c>
      <c r="C117" s="34" t="s">
        <v>23</v>
      </c>
      <c r="D117" s="34" t="s">
        <v>24</v>
      </c>
      <c r="E117" s="36">
        <v>21</v>
      </c>
      <c r="F117" s="34" t="s">
        <v>50</v>
      </c>
      <c r="G117" s="34" t="s">
        <v>26</v>
      </c>
      <c r="H117" s="34" t="s">
        <v>63</v>
      </c>
      <c r="I117" s="34">
        <v>0</v>
      </c>
      <c r="J117" s="36">
        <v>36900</v>
      </c>
      <c r="K117" s="36">
        <v>3000</v>
      </c>
      <c r="L117" s="34">
        <v>3.1</v>
      </c>
      <c r="M117" s="36">
        <v>38</v>
      </c>
      <c r="N117" s="36">
        <v>11</v>
      </c>
      <c r="O117" s="36">
        <v>13</v>
      </c>
      <c r="P117" s="34">
        <v>2.2999999999999998</v>
      </c>
      <c r="Q117" s="34" t="s">
        <v>29</v>
      </c>
      <c r="R117" s="34" t="s">
        <v>28</v>
      </c>
      <c r="S117" s="34" t="s">
        <v>38</v>
      </c>
      <c r="T117" s="35">
        <v>46101</v>
      </c>
      <c r="U117" s="34">
        <v>3</v>
      </c>
      <c r="V117" s="34">
        <v>3.2</v>
      </c>
      <c r="W117" s="34" t="s">
        <v>403</v>
      </c>
      <c r="X117" s="34" t="s">
        <v>683</v>
      </c>
    </row>
    <row r="118" spans="1:24" x14ac:dyDescent="0.3">
      <c r="A118" s="34" t="s">
        <v>125</v>
      </c>
      <c r="B118" s="35">
        <v>45045</v>
      </c>
      <c r="C118" s="34" t="s">
        <v>54</v>
      </c>
      <c r="D118" s="34" t="s">
        <v>41</v>
      </c>
      <c r="E118" s="36">
        <v>32</v>
      </c>
      <c r="F118" s="34" t="s">
        <v>25</v>
      </c>
      <c r="G118" s="34" t="s">
        <v>26</v>
      </c>
      <c r="H118" s="34" t="s">
        <v>63</v>
      </c>
      <c r="I118" s="34">
        <v>2</v>
      </c>
      <c r="J118" s="36">
        <v>45500</v>
      </c>
      <c r="K118" s="36">
        <v>1700</v>
      </c>
      <c r="L118" s="34">
        <v>3.5</v>
      </c>
      <c r="M118" s="36">
        <v>26</v>
      </c>
      <c r="N118" s="36">
        <v>13</v>
      </c>
      <c r="O118" s="36">
        <v>30</v>
      </c>
      <c r="P118" s="34">
        <v>4.5</v>
      </c>
      <c r="Q118" s="34" t="s">
        <v>28</v>
      </c>
      <c r="R118" s="34" t="s">
        <v>28</v>
      </c>
      <c r="S118" s="34" t="s">
        <v>60</v>
      </c>
      <c r="T118" s="35">
        <v>45279</v>
      </c>
      <c r="U118" s="34">
        <v>3.8</v>
      </c>
      <c r="V118" s="34">
        <v>4.0999999999999996</v>
      </c>
      <c r="W118" s="34" t="s">
        <v>403</v>
      </c>
      <c r="X118" s="34" t="s">
        <v>684</v>
      </c>
    </row>
    <row r="119" spans="1:24" x14ac:dyDescent="0.3">
      <c r="A119" s="34" t="s">
        <v>126</v>
      </c>
      <c r="B119" s="35">
        <v>45299</v>
      </c>
      <c r="C119" s="34" t="s">
        <v>54</v>
      </c>
      <c r="D119" s="34" t="s">
        <v>24</v>
      </c>
      <c r="E119" s="36">
        <v>29</v>
      </c>
      <c r="F119" s="34" t="s">
        <v>25</v>
      </c>
      <c r="G119" s="34" t="s">
        <v>26</v>
      </c>
      <c r="H119" s="34" t="s">
        <v>55</v>
      </c>
      <c r="I119" s="34">
        <v>3</v>
      </c>
      <c r="J119" s="36">
        <v>53400</v>
      </c>
      <c r="K119" s="36">
        <v>3000</v>
      </c>
      <c r="L119" s="34">
        <v>4.7</v>
      </c>
      <c r="M119" s="36">
        <v>18</v>
      </c>
      <c r="N119" s="36">
        <v>19</v>
      </c>
      <c r="O119" s="36">
        <v>20</v>
      </c>
      <c r="P119" s="34">
        <v>3.8</v>
      </c>
      <c r="Q119" s="34" t="s">
        <v>28</v>
      </c>
      <c r="R119" s="34" t="s">
        <v>29</v>
      </c>
      <c r="S119" s="34" t="s">
        <v>60</v>
      </c>
      <c r="T119" s="35">
        <v>46018</v>
      </c>
      <c r="U119" s="34">
        <v>3.6</v>
      </c>
      <c r="V119" s="34">
        <v>3.8</v>
      </c>
      <c r="W119" s="34" t="s">
        <v>405</v>
      </c>
      <c r="X119" s="34" t="s">
        <v>685</v>
      </c>
    </row>
    <row r="120" spans="1:24" x14ac:dyDescent="0.3">
      <c r="A120" s="34" t="s">
        <v>128</v>
      </c>
      <c r="B120" s="35">
        <v>44570</v>
      </c>
      <c r="C120" s="34" t="s">
        <v>48</v>
      </c>
      <c r="D120" s="34" t="s">
        <v>41</v>
      </c>
      <c r="E120" s="36">
        <v>24</v>
      </c>
      <c r="F120" s="34" t="s">
        <v>25</v>
      </c>
      <c r="G120" s="34" t="s">
        <v>33</v>
      </c>
      <c r="H120" s="34" t="s">
        <v>52</v>
      </c>
      <c r="I120" s="34">
        <v>0</v>
      </c>
      <c r="J120" s="36">
        <v>27700</v>
      </c>
      <c r="K120" s="36">
        <v>1600</v>
      </c>
      <c r="L120" s="34">
        <v>3.1</v>
      </c>
      <c r="M120" s="36">
        <v>35</v>
      </c>
      <c r="N120" s="36">
        <v>11</v>
      </c>
      <c r="O120" s="36">
        <v>23</v>
      </c>
      <c r="P120" s="34">
        <v>3.1</v>
      </c>
      <c r="Q120" s="34" t="s">
        <v>29</v>
      </c>
      <c r="R120" s="34" t="s">
        <v>28</v>
      </c>
      <c r="S120" s="34" t="s">
        <v>38</v>
      </c>
      <c r="T120" s="35">
        <v>45579</v>
      </c>
      <c r="U120" s="34">
        <v>3.5</v>
      </c>
      <c r="V120" s="34">
        <v>4.3</v>
      </c>
      <c r="W120" s="34" t="s">
        <v>403</v>
      </c>
      <c r="X120" s="34" t="s">
        <v>686</v>
      </c>
    </row>
    <row r="121" spans="1:24" x14ac:dyDescent="0.3">
      <c r="A121" s="34" t="s">
        <v>132</v>
      </c>
      <c r="B121" s="35">
        <v>44618</v>
      </c>
      <c r="C121" s="34" t="s">
        <v>32</v>
      </c>
      <c r="D121" s="34" t="s">
        <v>24</v>
      </c>
      <c r="E121" s="36">
        <v>24</v>
      </c>
      <c r="F121" s="34" t="s">
        <v>25</v>
      </c>
      <c r="G121" s="34" t="s">
        <v>26</v>
      </c>
      <c r="H121" s="34" t="s">
        <v>63</v>
      </c>
      <c r="I121" s="34">
        <v>4</v>
      </c>
      <c r="J121" s="36">
        <v>50900</v>
      </c>
      <c r="K121" s="36">
        <v>3300</v>
      </c>
      <c r="L121" s="34">
        <v>3.2</v>
      </c>
      <c r="M121" s="36">
        <v>39</v>
      </c>
      <c r="N121" s="36">
        <v>5</v>
      </c>
      <c r="O121" s="36">
        <v>23</v>
      </c>
      <c r="P121" s="34">
        <v>3.1</v>
      </c>
      <c r="Q121" s="34" t="s">
        <v>28</v>
      </c>
      <c r="R121" s="34" t="s">
        <v>28</v>
      </c>
      <c r="S121" s="34" t="s">
        <v>38</v>
      </c>
      <c r="T121" s="35">
        <v>45969</v>
      </c>
      <c r="U121" s="34">
        <v>3.8</v>
      </c>
      <c r="V121" s="34">
        <v>4</v>
      </c>
      <c r="W121" s="34" t="s">
        <v>405</v>
      </c>
      <c r="X121" s="34" t="s">
        <v>687</v>
      </c>
    </row>
    <row r="122" spans="1:24" x14ac:dyDescent="0.3">
      <c r="A122" s="34" t="s">
        <v>144</v>
      </c>
      <c r="B122" s="35">
        <v>45276</v>
      </c>
      <c r="C122" s="34" t="s">
        <v>40</v>
      </c>
      <c r="D122" s="34" t="s">
        <v>41</v>
      </c>
      <c r="E122" s="36">
        <v>27</v>
      </c>
      <c r="F122" s="34" t="s">
        <v>25</v>
      </c>
      <c r="G122" s="34" t="s">
        <v>26</v>
      </c>
      <c r="H122" s="34" t="s">
        <v>46</v>
      </c>
      <c r="I122" s="34">
        <v>0.3</v>
      </c>
      <c r="J122" s="36">
        <v>27700</v>
      </c>
      <c r="K122" s="36">
        <v>2900</v>
      </c>
      <c r="L122" s="34">
        <v>3.8</v>
      </c>
      <c r="M122" s="36">
        <v>33</v>
      </c>
      <c r="N122" s="36">
        <v>10</v>
      </c>
      <c r="O122" s="36">
        <v>22</v>
      </c>
      <c r="P122" s="34">
        <v>3.5</v>
      </c>
      <c r="Q122" s="34" t="s">
        <v>28</v>
      </c>
      <c r="R122" s="34" t="s">
        <v>28</v>
      </c>
      <c r="S122" s="34" t="s">
        <v>34</v>
      </c>
      <c r="T122" s="35">
        <v>46020</v>
      </c>
      <c r="U122" s="34">
        <v>4</v>
      </c>
      <c r="V122" s="34">
        <v>4.5999999999999996</v>
      </c>
      <c r="W122" s="34" t="s">
        <v>403</v>
      </c>
      <c r="X122" s="34" t="s">
        <v>688</v>
      </c>
    </row>
    <row r="123" spans="1:24" x14ac:dyDescent="0.3">
      <c r="A123" s="34" t="s">
        <v>145</v>
      </c>
      <c r="B123" s="35">
        <v>45246</v>
      </c>
      <c r="C123" s="34" t="s">
        <v>23</v>
      </c>
      <c r="D123" s="34" t="s">
        <v>41</v>
      </c>
      <c r="E123" s="36">
        <v>31</v>
      </c>
      <c r="F123" s="34" t="s">
        <v>25</v>
      </c>
      <c r="G123" s="34" t="s">
        <v>26</v>
      </c>
      <c r="H123" s="34" t="s">
        <v>63</v>
      </c>
      <c r="I123" s="34">
        <v>5.7</v>
      </c>
      <c r="J123" s="36">
        <v>46400</v>
      </c>
      <c r="K123" s="36">
        <v>1000</v>
      </c>
      <c r="L123" s="34">
        <v>3.2</v>
      </c>
      <c r="M123" s="36">
        <v>38</v>
      </c>
      <c r="N123" s="36">
        <v>6</v>
      </c>
      <c r="O123" s="36">
        <v>18</v>
      </c>
      <c r="P123" s="34">
        <v>4.0999999999999996</v>
      </c>
      <c r="Q123" s="34" t="s">
        <v>28</v>
      </c>
      <c r="R123" s="34" t="s">
        <v>28</v>
      </c>
      <c r="S123" s="34" t="s">
        <v>43</v>
      </c>
      <c r="T123" s="35">
        <v>45468</v>
      </c>
      <c r="U123" s="34">
        <v>3.1</v>
      </c>
      <c r="V123" s="34">
        <v>3.1</v>
      </c>
      <c r="W123" s="34" t="s">
        <v>405</v>
      </c>
      <c r="X123" s="34" t="s">
        <v>689</v>
      </c>
    </row>
    <row r="124" spans="1:24" x14ac:dyDescent="0.3">
      <c r="A124" s="34" t="s">
        <v>153</v>
      </c>
      <c r="B124" s="35">
        <v>45455</v>
      </c>
      <c r="C124" s="34" t="s">
        <v>54</v>
      </c>
      <c r="D124" s="34" t="s">
        <v>41</v>
      </c>
      <c r="E124" s="36">
        <v>22</v>
      </c>
      <c r="F124" s="34" t="s">
        <v>50</v>
      </c>
      <c r="G124" s="34" t="s">
        <v>42</v>
      </c>
      <c r="H124" s="34" t="s">
        <v>46</v>
      </c>
      <c r="I124" s="34">
        <v>0</v>
      </c>
      <c r="J124" s="36">
        <v>69600</v>
      </c>
      <c r="K124" s="36">
        <v>1600</v>
      </c>
      <c r="L124" s="34">
        <v>4.4000000000000004</v>
      </c>
      <c r="M124" s="36">
        <v>20</v>
      </c>
      <c r="N124" s="36">
        <v>2</v>
      </c>
      <c r="O124" s="36">
        <v>11</v>
      </c>
      <c r="P124" s="34">
        <v>2.9</v>
      </c>
      <c r="Q124" s="34" t="s">
        <v>28</v>
      </c>
      <c r="R124" s="34" t="s">
        <v>28</v>
      </c>
      <c r="S124" s="34" t="s">
        <v>38</v>
      </c>
      <c r="T124" s="35">
        <v>45941</v>
      </c>
      <c r="U124" s="34">
        <v>4.0999999999999996</v>
      </c>
      <c r="V124" s="34">
        <v>4.5</v>
      </c>
      <c r="W124" s="34" t="s">
        <v>403</v>
      </c>
      <c r="X124" s="34" t="s">
        <v>690</v>
      </c>
    </row>
    <row r="125" spans="1:24" x14ac:dyDescent="0.3">
      <c r="A125" s="34" t="s">
        <v>156</v>
      </c>
      <c r="B125" s="35">
        <v>44605</v>
      </c>
      <c r="C125" s="34" t="s">
        <v>48</v>
      </c>
      <c r="D125" s="34" t="s">
        <v>24</v>
      </c>
      <c r="E125" s="36">
        <v>24</v>
      </c>
      <c r="F125" s="34" t="s">
        <v>25</v>
      </c>
      <c r="G125" s="34" t="s">
        <v>33</v>
      </c>
      <c r="H125" s="34" t="s">
        <v>55</v>
      </c>
      <c r="I125" s="34">
        <v>4.9000000000000004</v>
      </c>
      <c r="J125" s="36">
        <v>77000</v>
      </c>
      <c r="K125" s="36">
        <v>7700</v>
      </c>
      <c r="L125" s="34">
        <v>3.4</v>
      </c>
      <c r="M125" s="36">
        <v>27</v>
      </c>
      <c r="N125" s="36">
        <v>18</v>
      </c>
      <c r="O125" s="36">
        <v>7</v>
      </c>
      <c r="P125" s="34">
        <v>4.4000000000000004</v>
      </c>
      <c r="Q125" s="34" t="s">
        <v>28</v>
      </c>
      <c r="R125" s="34" t="s">
        <v>28</v>
      </c>
      <c r="S125" s="34" t="s">
        <v>38</v>
      </c>
      <c r="T125" s="35">
        <v>45531</v>
      </c>
      <c r="U125" s="34">
        <v>4</v>
      </c>
      <c r="V125" s="34">
        <v>4.3</v>
      </c>
      <c r="W125" s="34" t="s">
        <v>405</v>
      </c>
      <c r="X125" s="34" t="s">
        <v>691</v>
      </c>
    </row>
    <row r="126" spans="1:24" x14ac:dyDescent="0.3">
      <c r="A126" s="34" t="s">
        <v>163</v>
      </c>
      <c r="B126" s="35">
        <v>44406</v>
      </c>
      <c r="C126" s="34" t="s">
        <v>36</v>
      </c>
      <c r="D126" s="34" t="s">
        <v>41</v>
      </c>
      <c r="E126" s="36">
        <v>24</v>
      </c>
      <c r="F126" s="34" t="s">
        <v>25</v>
      </c>
      <c r="G126" s="34" t="s">
        <v>33</v>
      </c>
      <c r="H126" s="34" t="s">
        <v>46</v>
      </c>
      <c r="I126" s="34">
        <v>2.2999999999999998</v>
      </c>
      <c r="J126" s="36">
        <v>55000</v>
      </c>
      <c r="K126" s="36">
        <v>3500</v>
      </c>
      <c r="L126" s="34">
        <v>3.2</v>
      </c>
      <c r="M126" s="36">
        <v>11</v>
      </c>
      <c r="N126" s="36">
        <v>2</v>
      </c>
      <c r="O126" s="36">
        <v>8</v>
      </c>
      <c r="P126" s="34">
        <v>5</v>
      </c>
      <c r="Q126" s="34" t="s">
        <v>28</v>
      </c>
      <c r="R126" s="34" t="s">
        <v>28</v>
      </c>
      <c r="S126" s="34" t="s">
        <v>60</v>
      </c>
      <c r="T126" s="35">
        <v>45873</v>
      </c>
      <c r="U126" s="34">
        <v>2.9</v>
      </c>
      <c r="V126" s="34">
        <v>3.3</v>
      </c>
      <c r="W126" s="34" t="s">
        <v>403</v>
      </c>
      <c r="X126" s="34" t="s">
        <v>692</v>
      </c>
    </row>
    <row r="127" spans="1:24" x14ac:dyDescent="0.3">
      <c r="A127" s="34" t="s">
        <v>170</v>
      </c>
      <c r="B127" s="35">
        <v>44578</v>
      </c>
      <c r="C127" s="34" t="s">
        <v>32</v>
      </c>
      <c r="D127" s="34" t="s">
        <v>24</v>
      </c>
      <c r="E127" s="36">
        <v>30</v>
      </c>
      <c r="F127" s="34" t="s">
        <v>25</v>
      </c>
      <c r="G127" s="34" t="s">
        <v>26</v>
      </c>
      <c r="H127" s="34" t="s">
        <v>52</v>
      </c>
      <c r="I127" s="34">
        <v>3.6</v>
      </c>
      <c r="J127" s="36">
        <v>55600</v>
      </c>
      <c r="K127" s="36">
        <v>3600</v>
      </c>
      <c r="L127" s="34">
        <v>3.2</v>
      </c>
      <c r="M127" s="36">
        <v>11</v>
      </c>
      <c r="N127" s="36">
        <v>19</v>
      </c>
      <c r="O127" s="36">
        <v>20</v>
      </c>
      <c r="P127" s="34">
        <v>2.7</v>
      </c>
      <c r="Q127" s="34" t="s">
        <v>29</v>
      </c>
      <c r="R127" s="34" t="s">
        <v>28</v>
      </c>
      <c r="S127" s="34" t="s">
        <v>38</v>
      </c>
      <c r="T127" s="35">
        <v>45297</v>
      </c>
      <c r="U127" s="34">
        <v>3.8</v>
      </c>
      <c r="V127" s="34">
        <v>4.5</v>
      </c>
      <c r="W127" s="34" t="s">
        <v>405</v>
      </c>
      <c r="X127" s="34" t="s">
        <v>693</v>
      </c>
    </row>
    <row r="128" spans="1:24" x14ac:dyDescent="0.3">
      <c r="A128" s="34" t="s">
        <v>190</v>
      </c>
      <c r="B128" s="35">
        <v>44941</v>
      </c>
      <c r="C128" s="34" t="s">
        <v>40</v>
      </c>
      <c r="D128" s="34" t="s">
        <v>24</v>
      </c>
      <c r="E128" s="36">
        <v>36</v>
      </c>
      <c r="F128" s="34" t="s">
        <v>57</v>
      </c>
      <c r="G128" s="34" t="s">
        <v>26</v>
      </c>
      <c r="H128" s="34" t="s">
        <v>63</v>
      </c>
      <c r="I128" s="34">
        <v>6.8</v>
      </c>
      <c r="J128" s="36">
        <v>59300</v>
      </c>
      <c r="K128" s="36">
        <v>2500</v>
      </c>
      <c r="L128" s="34">
        <v>2</v>
      </c>
      <c r="M128" s="36">
        <v>38</v>
      </c>
      <c r="N128" s="36">
        <v>9</v>
      </c>
      <c r="O128" s="36">
        <v>27</v>
      </c>
      <c r="P128" s="34">
        <v>2.8</v>
      </c>
      <c r="Q128" s="34" t="s">
        <v>28</v>
      </c>
      <c r="R128" s="34" t="s">
        <v>28</v>
      </c>
      <c r="S128" s="34" t="s">
        <v>43</v>
      </c>
      <c r="T128" s="35">
        <v>45865</v>
      </c>
      <c r="U128" s="34">
        <v>2.4</v>
      </c>
      <c r="V128" s="34">
        <v>2.9</v>
      </c>
      <c r="W128" s="34" t="s">
        <v>405</v>
      </c>
      <c r="X128" s="34" t="s">
        <v>694</v>
      </c>
    </row>
    <row r="129" spans="1:24" x14ac:dyDescent="0.3">
      <c r="A129" s="34" t="s">
        <v>197</v>
      </c>
      <c r="B129" s="35">
        <v>44554</v>
      </c>
      <c r="C129" s="34" t="s">
        <v>36</v>
      </c>
      <c r="D129" s="34" t="s">
        <v>24</v>
      </c>
      <c r="E129" s="36">
        <v>32</v>
      </c>
      <c r="F129" s="34" t="s">
        <v>25</v>
      </c>
      <c r="G129" s="34" t="s">
        <v>33</v>
      </c>
      <c r="H129" s="34" t="s">
        <v>37</v>
      </c>
      <c r="I129" s="34">
        <v>5.2</v>
      </c>
      <c r="J129" s="36">
        <v>73000</v>
      </c>
      <c r="K129" s="36">
        <v>1700</v>
      </c>
      <c r="L129" s="34">
        <v>3.3</v>
      </c>
      <c r="M129" s="36">
        <v>19</v>
      </c>
      <c r="N129" s="36">
        <v>13</v>
      </c>
      <c r="O129" s="36">
        <v>20</v>
      </c>
      <c r="P129" s="34">
        <v>4.2</v>
      </c>
      <c r="Q129" s="34" t="s">
        <v>29</v>
      </c>
      <c r="R129" s="34" t="s">
        <v>28</v>
      </c>
      <c r="S129" s="34" t="s">
        <v>34</v>
      </c>
      <c r="T129" s="35">
        <v>45884</v>
      </c>
      <c r="U129" s="34">
        <v>4.2</v>
      </c>
      <c r="V129" s="34">
        <v>4.4000000000000004</v>
      </c>
      <c r="W129" s="34" t="s">
        <v>405</v>
      </c>
      <c r="X129" s="34" t="s">
        <v>695</v>
      </c>
    </row>
    <row r="130" spans="1:24" x14ac:dyDescent="0.3">
      <c r="A130" s="34" t="s">
        <v>212</v>
      </c>
      <c r="B130" s="35">
        <v>44450</v>
      </c>
      <c r="C130" s="34" t="s">
        <v>23</v>
      </c>
      <c r="D130" s="34" t="s">
        <v>24</v>
      </c>
      <c r="E130" s="36">
        <v>22</v>
      </c>
      <c r="F130" s="34" t="s">
        <v>25</v>
      </c>
      <c r="G130" s="34" t="s">
        <v>51</v>
      </c>
      <c r="H130" s="34" t="s">
        <v>52</v>
      </c>
      <c r="I130" s="34">
        <v>0</v>
      </c>
      <c r="J130" s="36">
        <v>35200</v>
      </c>
      <c r="K130" s="36">
        <v>2900</v>
      </c>
      <c r="L130" s="34">
        <v>3.2</v>
      </c>
      <c r="M130" s="36">
        <v>23</v>
      </c>
      <c r="N130" s="36">
        <v>7</v>
      </c>
      <c r="O130" s="36">
        <v>2</v>
      </c>
      <c r="P130" s="34">
        <v>3.3</v>
      </c>
      <c r="Q130" s="34" t="s">
        <v>28</v>
      </c>
      <c r="R130" s="34" t="s">
        <v>28</v>
      </c>
      <c r="S130" s="34" t="s">
        <v>60</v>
      </c>
      <c r="T130" s="35">
        <v>45438</v>
      </c>
      <c r="U130" s="34">
        <v>4.0999999999999996</v>
      </c>
      <c r="V130" s="34">
        <v>4.5999999999999996</v>
      </c>
      <c r="W130" s="34" t="s">
        <v>403</v>
      </c>
      <c r="X130" s="34" t="s">
        <v>696</v>
      </c>
    </row>
    <row r="131" spans="1:24" x14ac:dyDescent="0.3">
      <c r="A131" s="34" t="s">
        <v>213</v>
      </c>
      <c r="B131" s="35">
        <v>44705</v>
      </c>
      <c r="C131" s="34" t="s">
        <v>23</v>
      </c>
      <c r="D131" s="34" t="s">
        <v>24</v>
      </c>
      <c r="E131" s="36">
        <v>25</v>
      </c>
      <c r="F131" s="34" t="s">
        <v>25</v>
      </c>
      <c r="G131" s="34" t="s">
        <v>26</v>
      </c>
      <c r="H131" s="34" t="s">
        <v>52</v>
      </c>
      <c r="I131" s="34">
        <v>0</v>
      </c>
      <c r="J131" s="36">
        <v>36100</v>
      </c>
      <c r="K131" s="36">
        <v>700</v>
      </c>
      <c r="L131" s="34">
        <v>3.1</v>
      </c>
      <c r="M131" s="36">
        <v>23</v>
      </c>
      <c r="N131" s="36">
        <v>9</v>
      </c>
      <c r="O131" s="36">
        <v>13</v>
      </c>
      <c r="P131" s="34">
        <v>4.2</v>
      </c>
      <c r="Q131" s="34" t="s">
        <v>29</v>
      </c>
      <c r="R131" s="34" t="s">
        <v>28</v>
      </c>
      <c r="S131" s="34" t="s">
        <v>34</v>
      </c>
      <c r="T131" s="35">
        <v>45757</v>
      </c>
      <c r="U131" s="34">
        <v>3.8</v>
      </c>
      <c r="V131" s="34">
        <v>4.4000000000000004</v>
      </c>
      <c r="W131" s="34" t="s">
        <v>403</v>
      </c>
      <c r="X131" s="34" t="s">
        <v>697</v>
      </c>
    </row>
    <row r="132" spans="1:24" x14ac:dyDescent="0.3">
      <c r="A132" s="34" t="s">
        <v>218</v>
      </c>
      <c r="B132" s="35">
        <v>44667</v>
      </c>
      <c r="C132" s="34" t="s">
        <v>54</v>
      </c>
      <c r="D132" s="34" t="s">
        <v>24</v>
      </c>
      <c r="E132" s="36">
        <v>25</v>
      </c>
      <c r="F132" s="34" t="s">
        <v>57</v>
      </c>
      <c r="G132" s="34" t="s">
        <v>26</v>
      </c>
      <c r="H132" s="34" t="s">
        <v>55</v>
      </c>
      <c r="I132" s="34">
        <v>5</v>
      </c>
      <c r="J132" s="36">
        <v>60900</v>
      </c>
      <c r="K132" s="36">
        <v>6200</v>
      </c>
      <c r="L132" s="34">
        <v>3.8</v>
      </c>
      <c r="M132" s="36">
        <v>35</v>
      </c>
      <c r="N132" s="36">
        <v>19</v>
      </c>
      <c r="O132" s="36">
        <v>15</v>
      </c>
      <c r="P132" s="34">
        <v>3.2</v>
      </c>
      <c r="Q132" s="34" t="s">
        <v>28</v>
      </c>
      <c r="R132" s="34" t="s">
        <v>28</v>
      </c>
      <c r="S132" s="34" t="s">
        <v>34</v>
      </c>
      <c r="T132" s="35">
        <v>45720</v>
      </c>
      <c r="U132" s="34">
        <v>3.9</v>
      </c>
      <c r="V132" s="34">
        <v>4.4000000000000004</v>
      </c>
      <c r="W132" s="34" t="s">
        <v>405</v>
      </c>
      <c r="X132" s="34" t="s">
        <v>698</v>
      </c>
    </row>
    <row r="133" spans="1:24" x14ac:dyDescent="0.3">
      <c r="A133" s="34" t="s">
        <v>224</v>
      </c>
      <c r="B133" s="35">
        <v>44558</v>
      </c>
      <c r="C133" s="34" t="s">
        <v>23</v>
      </c>
      <c r="D133" s="34" t="s">
        <v>24</v>
      </c>
      <c r="E133" s="36">
        <v>25</v>
      </c>
      <c r="F133" s="34" t="s">
        <v>25</v>
      </c>
      <c r="G133" s="34" t="s">
        <v>33</v>
      </c>
      <c r="H133" s="34" t="s">
        <v>27</v>
      </c>
      <c r="I133" s="34">
        <v>0</v>
      </c>
      <c r="J133" s="36">
        <v>46500</v>
      </c>
      <c r="K133" s="36">
        <v>3000</v>
      </c>
      <c r="L133" s="34">
        <v>4.2</v>
      </c>
      <c r="M133" s="36">
        <v>31</v>
      </c>
      <c r="N133" s="36">
        <v>14</v>
      </c>
      <c r="O133" s="36">
        <v>3</v>
      </c>
      <c r="P133" s="34">
        <v>2.4</v>
      </c>
      <c r="Q133" s="34" t="s">
        <v>28</v>
      </c>
      <c r="R133" s="34" t="s">
        <v>28</v>
      </c>
      <c r="S133" s="34" t="s">
        <v>43</v>
      </c>
      <c r="T133" s="35">
        <v>45290</v>
      </c>
      <c r="U133" s="34">
        <v>3.8</v>
      </c>
      <c r="V133" s="34">
        <v>4.2</v>
      </c>
      <c r="W133" s="34" t="s">
        <v>403</v>
      </c>
      <c r="X133" s="34" t="s">
        <v>699</v>
      </c>
    </row>
    <row r="134" spans="1:24" x14ac:dyDescent="0.3">
      <c r="A134" s="34" t="s">
        <v>226</v>
      </c>
      <c r="B134" s="35">
        <v>44979</v>
      </c>
      <c r="C134" s="34" t="s">
        <v>36</v>
      </c>
      <c r="D134" s="34" t="s">
        <v>41</v>
      </c>
      <c r="E134" s="36">
        <v>23</v>
      </c>
      <c r="F134" s="34" t="s">
        <v>25</v>
      </c>
      <c r="G134" s="34" t="s">
        <v>26</v>
      </c>
      <c r="H134" s="34" t="s">
        <v>63</v>
      </c>
      <c r="I134" s="34">
        <v>1</v>
      </c>
      <c r="J134" s="36">
        <v>50900</v>
      </c>
      <c r="K134" s="36">
        <v>3300</v>
      </c>
      <c r="L134" s="34">
        <v>3.6</v>
      </c>
      <c r="M134" s="36">
        <v>32</v>
      </c>
      <c r="N134" s="36">
        <v>11</v>
      </c>
      <c r="O134" s="36">
        <v>7</v>
      </c>
      <c r="P134" s="34">
        <v>3.8</v>
      </c>
      <c r="Q134" s="34" t="s">
        <v>28</v>
      </c>
      <c r="R134" s="34" t="s">
        <v>28</v>
      </c>
      <c r="S134" s="34" t="s">
        <v>60</v>
      </c>
      <c r="T134" s="35">
        <v>46174</v>
      </c>
      <c r="U134" s="34">
        <v>4</v>
      </c>
      <c r="V134" s="34">
        <v>4.3</v>
      </c>
      <c r="W134" s="34" t="s">
        <v>403</v>
      </c>
      <c r="X134" s="34" t="s">
        <v>700</v>
      </c>
    </row>
    <row r="135" spans="1:24" x14ac:dyDescent="0.3">
      <c r="A135" s="34" t="s">
        <v>230</v>
      </c>
      <c r="B135" s="35">
        <v>44732</v>
      </c>
      <c r="C135" s="34" t="s">
        <v>48</v>
      </c>
      <c r="D135" s="34" t="s">
        <v>24</v>
      </c>
      <c r="E135" s="36">
        <v>29</v>
      </c>
      <c r="F135" s="34" t="s">
        <v>25</v>
      </c>
      <c r="G135" s="34" t="s">
        <v>51</v>
      </c>
      <c r="H135" s="34" t="s">
        <v>46</v>
      </c>
      <c r="I135" s="34">
        <v>5.7</v>
      </c>
      <c r="J135" s="36">
        <v>51700</v>
      </c>
      <c r="K135" s="36">
        <v>3800</v>
      </c>
      <c r="L135" s="34">
        <v>2.9</v>
      </c>
      <c r="M135" s="36">
        <v>25</v>
      </c>
      <c r="N135" s="36">
        <v>18</v>
      </c>
      <c r="O135" s="36">
        <v>2</v>
      </c>
      <c r="P135" s="34">
        <v>3.4</v>
      </c>
      <c r="Q135" s="34" t="s">
        <v>28</v>
      </c>
      <c r="R135" s="34" t="s">
        <v>28</v>
      </c>
      <c r="S135" s="34" t="s">
        <v>43</v>
      </c>
      <c r="T135" s="35">
        <v>45310</v>
      </c>
      <c r="U135" s="34">
        <v>4.3</v>
      </c>
      <c r="V135" s="34">
        <v>4.7</v>
      </c>
      <c r="W135" s="34" t="s">
        <v>405</v>
      </c>
      <c r="X135" s="34" t="s">
        <v>701</v>
      </c>
    </row>
    <row r="136" spans="1:24" x14ac:dyDescent="0.3">
      <c r="A136" s="34" t="s">
        <v>234</v>
      </c>
      <c r="B136" s="35">
        <v>44395</v>
      </c>
      <c r="C136" s="34" t="s">
        <v>40</v>
      </c>
      <c r="D136" s="34" t="s">
        <v>24</v>
      </c>
      <c r="E136" s="36">
        <v>31</v>
      </c>
      <c r="F136" s="34" t="s">
        <v>25</v>
      </c>
      <c r="G136" s="34" t="s">
        <v>33</v>
      </c>
      <c r="H136" s="34" t="s">
        <v>52</v>
      </c>
      <c r="I136" s="34">
        <v>5.0999999999999996</v>
      </c>
      <c r="J136" s="36">
        <v>66200</v>
      </c>
      <c r="K136" s="36">
        <v>7800</v>
      </c>
      <c r="L136" s="34">
        <v>3.9</v>
      </c>
      <c r="M136" s="36">
        <v>26</v>
      </c>
      <c r="N136" s="36">
        <v>12</v>
      </c>
      <c r="O136" s="36">
        <v>16</v>
      </c>
      <c r="P136" s="34">
        <v>4.2</v>
      </c>
      <c r="Q136" s="34" t="s">
        <v>28</v>
      </c>
      <c r="R136" s="34" t="s">
        <v>28</v>
      </c>
      <c r="S136" s="34" t="s">
        <v>38</v>
      </c>
      <c r="T136" s="35">
        <v>45522</v>
      </c>
      <c r="U136" s="34">
        <v>2.9</v>
      </c>
      <c r="V136" s="34">
        <v>3.5</v>
      </c>
      <c r="W136" s="34" t="s">
        <v>405</v>
      </c>
      <c r="X136" s="34" t="s">
        <v>702</v>
      </c>
    </row>
    <row r="137" spans="1:24" x14ac:dyDescent="0.3">
      <c r="A137" s="34" t="s">
        <v>236</v>
      </c>
      <c r="B137" s="35">
        <v>45563</v>
      </c>
      <c r="C137" s="34" t="s">
        <v>48</v>
      </c>
      <c r="D137" s="34" t="s">
        <v>24</v>
      </c>
      <c r="E137" s="36">
        <v>27</v>
      </c>
      <c r="F137" s="34" t="s">
        <v>25</v>
      </c>
      <c r="G137" s="34" t="s">
        <v>42</v>
      </c>
      <c r="H137" s="34" t="s">
        <v>27</v>
      </c>
      <c r="I137" s="34">
        <v>1.6</v>
      </c>
      <c r="J137" s="36">
        <v>74100</v>
      </c>
      <c r="K137" s="36">
        <v>6200</v>
      </c>
      <c r="L137" s="34">
        <v>1.7</v>
      </c>
      <c r="M137" s="36">
        <v>5</v>
      </c>
      <c r="N137" s="36">
        <v>16</v>
      </c>
      <c r="O137" s="36">
        <v>25</v>
      </c>
      <c r="P137" s="34">
        <v>3.5</v>
      </c>
      <c r="Q137" s="34" t="s">
        <v>28</v>
      </c>
      <c r="R137" s="34" t="s">
        <v>28</v>
      </c>
      <c r="S137" s="34" t="s">
        <v>34</v>
      </c>
      <c r="T137" s="35">
        <v>46055</v>
      </c>
      <c r="U137" s="34">
        <v>4.3</v>
      </c>
      <c r="V137" s="34">
        <v>4.5999999999999996</v>
      </c>
      <c r="W137" s="34" t="s">
        <v>403</v>
      </c>
      <c r="X137" s="34" t="s">
        <v>703</v>
      </c>
    </row>
    <row r="138" spans="1:24" x14ac:dyDescent="0.3">
      <c r="A138" s="34" t="s">
        <v>243</v>
      </c>
      <c r="B138" s="35">
        <v>45306</v>
      </c>
      <c r="C138" s="34" t="s">
        <v>23</v>
      </c>
      <c r="D138" s="34" t="s">
        <v>41</v>
      </c>
      <c r="E138" s="36">
        <v>27</v>
      </c>
      <c r="F138" s="34" t="s">
        <v>25</v>
      </c>
      <c r="G138" s="34" t="s">
        <v>26</v>
      </c>
      <c r="H138" s="34" t="s">
        <v>52</v>
      </c>
      <c r="I138" s="34">
        <v>1.4</v>
      </c>
      <c r="J138" s="36">
        <v>34700</v>
      </c>
      <c r="K138" s="36">
        <v>3600</v>
      </c>
      <c r="L138" s="34">
        <v>4.3</v>
      </c>
      <c r="M138" s="36">
        <v>5</v>
      </c>
      <c r="N138" s="36">
        <v>12</v>
      </c>
      <c r="O138" s="36">
        <v>12</v>
      </c>
      <c r="P138" s="34">
        <v>3.2</v>
      </c>
      <c r="Q138" s="34" t="s">
        <v>28</v>
      </c>
      <c r="R138" s="34" t="s">
        <v>28</v>
      </c>
      <c r="S138" s="34" t="s">
        <v>60</v>
      </c>
      <c r="T138" s="35">
        <v>45733</v>
      </c>
      <c r="U138" s="34">
        <v>2.4</v>
      </c>
      <c r="V138" s="34">
        <v>2.7</v>
      </c>
      <c r="W138" s="34" t="s">
        <v>403</v>
      </c>
      <c r="X138" s="34" t="s">
        <v>704</v>
      </c>
    </row>
    <row r="139" spans="1:24" x14ac:dyDescent="0.3">
      <c r="A139" s="34" t="s">
        <v>250</v>
      </c>
      <c r="B139" s="35">
        <v>45150</v>
      </c>
      <c r="C139" s="34" t="s">
        <v>40</v>
      </c>
      <c r="D139" s="34" t="s">
        <v>41</v>
      </c>
      <c r="E139" s="36">
        <v>28</v>
      </c>
      <c r="F139" s="34" t="s">
        <v>25</v>
      </c>
      <c r="G139" s="34" t="s">
        <v>26</v>
      </c>
      <c r="H139" s="34" t="s">
        <v>63</v>
      </c>
      <c r="I139" s="34">
        <v>5.4</v>
      </c>
      <c r="J139" s="36">
        <v>52100</v>
      </c>
      <c r="K139" s="36">
        <v>3600</v>
      </c>
      <c r="L139" s="34">
        <v>4.4000000000000004</v>
      </c>
      <c r="M139" s="36">
        <v>7</v>
      </c>
      <c r="N139" s="36">
        <v>8</v>
      </c>
      <c r="O139" s="36">
        <v>28</v>
      </c>
      <c r="P139" s="34">
        <v>3.5</v>
      </c>
      <c r="Q139" s="34" t="s">
        <v>28</v>
      </c>
      <c r="R139" s="34" t="s">
        <v>29</v>
      </c>
      <c r="S139" s="34" t="s">
        <v>43</v>
      </c>
      <c r="T139" s="35">
        <v>45437</v>
      </c>
      <c r="U139" s="34">
        <v>3.9</v>
      </c>
      <c r="V139" s="34">
        <v>4.5</v>
      </c>
      <c r="W139" s="34" t="s">
        <v>405</v>
      </c>
      <c r="X139" s="34" t="s">
        <v>705</v>
      </c>
    </row>
    <row r="140" spans="1:24" x14ac:dyDescent="0.3">
      <c r="A140" s="34" t="s">
        <v>260</v>
      </c>
      <c r="B140" s="35">
        <v>45412</v>
      </c>
      <c r="C140" s="34" t="s">
        <v>54</v>
      </c>
      <c r="D140" s="34" t="s">
        <v>41</v>
      </c>
      <c r="E140" s="36">
        <v>25</v>
      </c>
      <c r="F140" s="34" t="s">
        <v>25</v>
      </c>
      <c r="G140" s="34" t="s">
        <v>33</v>
      </c>
      <c r="H140" s="34" t="s">
        <v>27</v>
      </c>
      <c r="I140" s="34">
        <v>3.2</v>
      </c>
      <c r="J140" s="36">
        <v>61400</v>
      </c>
      <c r="K140" s="36">
        <v>1400</v>
      </c>
      <c r="L140" s="34">
        <v>4.0999999999999996</v>
      </c>
      <c r="M140" s="36">
        <v>31</v>
      </c>
      <c r="N140" s="36">
        <v>15</v>
      </c>
      <c r="O140" s="36">
        <v>29</v>
      </c>
      <c r="P140" s="34">
        <v>4.3</v>
      </c>
      <c r="Q140" s="34" t="s">
        <v>29</v>
      </c>
      <c r="R140" s="34" t="s">
        <v>29</v>
      </c>
      <c r="S140" s="34" t="s">
        <v>34</v>
      </c>
      <c r="T140" s="35">
        <v>45739</v>
      </c>
      <c r="U140" s="34">
        <v>1.9</v>
      </c>
      <c r="V140" s="34">
        <v>1.8</v>
      </c>
      <c r="W140" s="34" t="s">
        <v>405</v>
      </c>
      <c r="X140" s="34" t="s">
        <v>706</v>
      </c>
    </row>
    <row r="141" spans="1:24" x14ac:dyDescent="0.3">
      <c r="A141" s="34" t="s">
        <v>266</v>
      </c>
      <c r="B141" s="35">
        <v>44529</v>
      </c>
      <c r="C141" s="34" t="s">
        <v>36</v>
      </c>
      <c r="D141" s="34" t="s">
        <v>41</v>
      </c>
      <c r="E141" s="36">
        <v>22</v>
      </c>
      <c r="F141" s="34" t="s">
        <v>25</v>
      </c>
      <c r="G141" s="34" t="s">
        <v>26</v>
      </c>
      <c r="H141" s="34" t="s">
        <v>55</v>
      </c>
      <c r="I141" s="34">
        <v>0</v>
      </c>
      <c r="J141" s="36">
        <v>38400</v>
      </c>
      <c r="K141" s="36">
        <v>900</v>
      </c>
      <c r="L141" s="34">
        <v>3.6</v>
      </c>
      <c r="M141" s="36">
        <v>5</v>
      </c>
      <c r="N141" s="36">
        <v>10</v>
      </c>
      <c r="O141" s="36">
        <v>24</v>
      </c>
      <c r="P141" s="34">
        <v>5</v>
      </c>
      <c r="Q141" s="34" t="s">
        <v>29</v>
      </c>
      <c r="R141" s="34" t="s">
        <v>28</v>
      </c>
      <c r="S141" s="34" t="s">
        <v>43</v>
      </c>
      <c r="T141" s="35">
        <v>45412</v>
      </c>
      <c r="U141" s="34">
        <v>3.2</v>
      </c>
      <c r="V141" s="34">
        <v>3.2</v>
      </c>
      <c r="W141" s="34" t="s">
        <v>403</v>
      </c>
      <c r="X141" s="34" t="s">
        <v>707</v>
      </c>
    </row>
    <row r="142" spans="1:24" x14ac:dyDescent="0.3">
      <c r="A142" s="34" t="s">
        <v>271</v>
      </c>
      <c r="B142" s="35">
        <v>45561</v>
      </c>
      <c r="C142" s="34" t="s">
        <v>40</v>
      </c>
      <c r="D142" s="34" t="s">
        <v>41</v>
      </c>
      <c r="E142" s="36">
        <v>24</v>
      </c>
      <c r="F142" s="34" t="s">
        <v>25</v>
      </c>
      <c r="G142" s="34" t="s">
        <v>26</v>
      </c>
      <c r="H142" s="34" t="s">
        <v>55</v>
      </c>
      <c r="I142" s="34">
        <v>1.7</v>
      </c>
      <c r="J142" s="36">
        <v>52400</v>
      </c>
      <c r="K142" s="36">
        <v>3400</v>
      </c>
      <c r="L142" s="34">
        <v>2.7</v>
      </c>
      <c r="M142" s="36">
        <v>30</v>
      </c>
      <c r="N142" s="36">
        <v>14</v>
      </c>
      <c r="O142" s="36">
        <v>26</v>
      </c>
      <c r="P142" s="34">
        <v>4.9000000000000004</v>
      </c>
      <c r="Q142" s="34" t="s">
        <v>28</v>
      </c>
      <c r="R142" s="34" t="s">
        <v>28</v>
      </c>
      <c r="S142" s="34" t="s">
        <v>60</v>
      </c>
      <c r="T142" s="35">
        <v>46179</v>
      </c>
      <c r="U142" s="34">
        <v>2.6</v>
      </c>
      <c r="V142" s="34">
        <v>3</v>
      </c>
      <c r="W142" s="34" t="s">
        <v>403</v>
      </c>
      <c r="X142" s="34" t="s">
        <v>708</v>
      </c>
    </row>
    <row r="143" spans="1:24" x14ac:dyDescent="0.3">
      <c r="A143" s="34" t="s">
        <v>272</v>
      </c>
      <c r="B143" s="35">
        <v>44939</v>
      </c>
      <c r="C143" s="34" t="s">
        <v>40</v>
      </c>
      <c r="D143" s="34" t="s">
        <v>24</v>
      </c>
      <c r="E143" s="36">
        <v>34</v>
      </c>
      <c r="F143" s="34" t="s">
        <v>25</v>
      </c>
      <c r="G143" s="34" t="s">
        <v>33</v>
      </c>
      <c r="H143" s="34" t="s">
        <v>63</v>
      </c>
      <c r="I143" s="34">
        <v>6.9</v>
      </c>
      <c r="J143" s="36">
        <v>72500</v>
      </c>
      <c r="K143" s="36">
        <v>6500</v>
      </c>
      <c r="L143" s="34">
        <v>4.5</v>
      </c>
      <c r="M143" s="36">
        <v>35</v>
      </c>
      <c r="N143" s="36">
        <v>12</v>
      </c>
      <c r="O143" s="36">
        <v>14</v>
      </c>
      <c r="P143" s="34">
        <v>3.2</v>
      </c>
      <c r="Q143" s="34" t="s">
        <v>28</v>
      </c>
      <c r="R143" s="34" t="s">
        <v>29</v>
      </c>
      <c r="S143" s="34" t="s">
        <v>34</v>
      </c>
      <c r="T143" s="35">
        <v>46023</v>
      </c>
      <c r="U143" s="34">
        <v>4.4000000000000004</v>
      </c>
      <c r="V143" s="34">
        <v>4.7</v>
      </c>
      <c r="W143" s="34" t="s">
        <v>405</v>
      </c>
      <c r="X143" s="34" t="s">
        <v>709</v>
      </c>
    </row>
    <row r="144" spans="1:24" x14ac:dyDescent="0.3">
      <c r="A144" s="34" t="s">
        <v>274</v>
      </c>
      <c r="B144" s="35">
        <v>44742</v>
      </c>
      <c r="C144" s="34" t="s">
        <v>36</v>
      </c>
      <c r="D144" s="34" t="s">
        <v>41</v>
      </c>
      <c r="E144" s="36">
        <v>25</v>
      </c>
      <c r="F144" s="34" t="s">
        <v>25</v>
      </c>
      <c r="G144" s="34" t="s">
        <v>51</v>
      </c>
      <c r="H144" s="34" t="s">
        <v>52</v>
      </c>
      <c r="I144" s="34">
        <v>6</v>
      </c>
      <c r="J144" s="36">
        <v>49300</v>
      </c>
      <c r="K144" s="36">
        <v>2900</v>
      </c>
      <c r="L144" s="34">
        <v>2.6</v>
      </c>
      <c r="M144" s="36">
        <v>30</v>
      </c>
      <c r="N144" s="36">
        <v>10</v>
      </c>
      <c r="O144" s="36">
        <v>27</v>
      </c>
      <c r="P144" s="34">
        <v>3.5</v>
      </c>
      <c r="Q144" s="34" t="s">
        <v>29</v>
      </c>
      <c r="R144" s="34" t="s">
        <v>28</v>
      </c>
      <c r="S144" s="34" t="s">
        <v>30</v>
      </c>
      <c r="T144" s="35">
        <v>45097</v>
      </c>
      <c r="U144" s="34">
        <v>3.9</v>
      </c>
      <c r="V144" s="34">
        <v>4.5</v>
      </c>
      <c r="W144" s="34" t="s">
        <v>405</v>
      </c>
      <c r="X144" s="34" t="s">
        <v>710</v>
      </c>
    </row>
    <row r="145" spans="1:24" x14ac:dyDescent="0.3">
      <c r="A145" s="34" t="s">
        <v>276</v>
      </c>
      <c r="B145" s="35">
        <v>45017</v>
      </c>
      <c r="C145" s="34" t="s">
        <v>23</v>
      </c>
      <c r="D145" s="34" t="s">
        <v>41</v>
      </c>
      <c r="E145" s="36">
        <v>22</v>
      </c>
      <c r="F145" s="34" t="s">
        <v>25</v>
      </c>
      <c r="G145" s="34" t="s">
        <v>33</v>
      </c>
      <c r="H145" s="34" t="s">
        <v>52</v>
      </c>
      <c r="I145" s="34">
        <v>6.1</v>
      </c>
      <c r="J145" s="36">
        <v>66200</v>
      </c>
      <c r="K145" s="36">
        <v>2500</v>
      </c>
      <c r="L145" s="34">
        <v>3.1</v>
      </c>
      <c r="M145" s="36">
        <v>35</v>
      </c>
      <c r="N145" s="36">
        <v>15</v>
      </c>
      <c r="O145" s="36">
        <v>21</v>
      </c>
      <c r="P145" s="34">
        <v>3.7</v>
      </c>
      <c r="Q145" s="34" t="s">
        <v>28</v>
      </c>
      <c r="R145" s="34" t="s">
        <v>28</v>
      </c>
      <c r="S145" s="34" t="s">
        <v>34</v>
      </c>
      <c r="T145" s="35">
        <v>45602</v>
      </c>
      <c r="U145" s="34">
        <v>4.7</v>
      </c>
      <c r="V145" s="34">
        <v>4.9000000000000004</v>
      </c>
      <c r="W145" s="34" t="s">
        <v>405</v>
      </c>
      <c r="X145" s="34" t="s">
        <v>711</v>
      </c>
    </row>
    <row r="146" spans="1:24" x14ac:dyDescent="0.3">
      <c r="A146" s="34" t="s">
        <v>280</v>
      </c>
      <c r="B146" s="35">
        <v>45233</v>
      </c>
      <c r="C146" s="34" t="s">
        <v>40</v>
      </c>
      <c r="D146" s="34" t="s">
        <v>24</v>
      </c>
      <c r="E146" s="36">
        <v>22</v>
      </c>
      <c r="F146" s="34" t="s">
        <v>25</v>
      </c>
      <c r="G146" s="34" t="s">
        <v>26</v>
      </c>
      <c r="H146" s="34" t="s">
        <v>52</v>
      </c>
      <c r="I146" s="34">
        <v>0</v>
      </c>
      <c r="J146" s="36">
        <v>27600</v>
      </c>
      <c r="K146" s="36">
        <v>1800</v>
      </c>
      <c r="L146" s="34">
        <v>4</v>
      </c>
      <c r="M146" s="36">
        <v>7</v>
      </c>
      <c r="N146" s="36">
        <v>9</v>
      </c>
      <c r="O146" s="36">
        <v>27</v>
      </c>
      <c r="P146" s="34">
        <v>4</v>
      </c>
      <c r="Q146" s="34" t="s">
        <v>29</v>
      </c>
      <c r="R146" s="34" t="s">
        <v>28</v>
      </c>
      <c r="S146" s="34" t="s">
        <v>43</v>
      </c>
      <c r="T146" s="35">
        <v>45556</v>
      </c>
      <c r="U146" s="34">
        <v>2.2000000000000002</v>
      </c>
      <c r="V146" s="34">
        <v>3</v>
      </c>
      <c r="W146" s="34" t="s">
        <v>403</v>
      </c>
      <c r="X146" s="34" t="s">
        <v>712</v>
      </c>
    </row>
    <row r="147" spans="1:24" x14ac:dyDescent="0.3">
      <c r="A147" s="34" t="s">
        <v>282</v>
      </c>
      <c r="B147" s="35">
        <v>44770</v>
      </c>
      <c r="C147" s="34" t="s">
        <v>40</v>
      </c>
      <c r="D147" s="34" t="s">
        <v>24</v>
      </c>
      <c r="E147" s="36">
        <v>21</v>
      </c>
      <c r="F147" s="34" t="s">
        <v>50</v>
      </c>
      <c r="G147" s="34" t="s">
        <v>26</v>
      </c>
      <c r="H147" s="34" t="s">
        <v>46</v>
      </c>
      <c r="I147" s="34">
        <v>0</v>
      </c>
      <c r="J147" s="36">
        <v>37100</v>
      </c>
      <c r="K147" s="36">
        <v>2900</v>
      </c>
      <c r="L147" s="34">
        <v>4.0999999999999996</v>
      </c>
      <c r="M147" s="36">
        <v>9</v>
      </c>
      <c r="N147" s="36">
        <v>14</v>
      </c>
      <c r="O147" s="36">
        <v>2</v>
      </c>
      <c r="P147" s="34">
        <v>3.7</v>
      </c>
      <c r="Q147" s="34" t="s">
        <v>28</v>
      </c>
      <c r="R147" s="34" t="s">
        <v>28</v>
      </c>
      <c r="S147" s="34" t="s">
        <v>43</v>
      </c>
      <c r="T147" s="35">
        <v>45264</v>
      </c>
      <c r="U147" s="34">
        <v>2.6</v>
      </c>
      <c r="V147" s="34">
        <v>3.1</v>
      </c>
      <c r="W147" s="34" t="s">
        <v>403</v>
      </c>
      <c r="X147" s="34" t="s">
        <v>713</v>
      </c>
    </row>
    <row r="148" spans="1:24" x14ac:dyDescent="0.3">
      <c r="A148" s="34" t="s">
        <v>303</v>
      </c>
      <c r="B148" s="35">
        <v>45050</v>
      </c>
      <c r="C148" s="34" t="s">
        <v>36</v>
      </c>
      <c r="D148" s="34" t="s">
        <v>24</v>
      </c>
      <c r="E148" s="36">
        <v>23</v>
      </c>
      <c r="F148" s="34" t="s">
        <v>25</v>
      </c>
      <c r="G148" s="34" t="s">
        <v>26</v>
      </c>
      <c r="H148" s="34" t="s">
        <v>27</v>
      </c>
      <c r="I148" s="34">
        <v>0</v>
      </c>
      <c r="J148" s="36">
        <v>42600</v>
      </c>
      <c r="K148" s="36">
        <v>3600</v>
      </c>
      <c r="L148" s="34">
        <v>3</v>
      </c>
      <c r="M148" s="36">
        <v>8</v>
      </c>
      <c r="N148" s="36">
        <v>8</v>
      </c>
      <c r="O148" s="36">
        <v>6</v>
      </c>
      <c r="P148" s="34">
        <v>3.9</v>
      </c>
      <c r="Q148" s="34" t="s">
        <v>29</v>
      </c>
      <c r="R148" s="34" t="s">
        <v>28</v>
      </c>
      <c r="S148" s="34" t="s">
        <v>38</v>
      </c>
      <c r="T148" s="35">
        <v>46136</v>
      </c>
      <c r="U148" s="34">
        <v>3.7</v>
      </c>
      <c r="V148" s="34">
        <v>4</v>
      </c>
      <c r="W148" s="34" t="s">
        <v>403</v>
      </c>
      <c r="X148" s="34" t="s">
        <v>714</v>
      </c>
    </row>
    <row r="149" spans="1:24" x14ac:dyDescent="0.3">
      <c r="A149" s="34" t="s">
        <v>304</v>
      </c>
      <c r="B149" s="35">
        <v>44323</v>
      </c>
      <c r="C149" s="34" t="s">
        <v>40</v>
      </c>
      <c r="D149" s="34" t="s">
        <v>24</v>
      </c>
      <c r="E149" s="36">
        <v>23</v>
      </c>
      <c r="F149" s="34" t="s">
        <v>25</v>
      </c>
      <c r="G149" s="34" t="s">
        <v>33</v>
      </c>
      <c r="H149" s="34" t="s">
        <v>52</v>
      </c>
      <c r="I149" s="34">
        <v>4.4000000000000004</v>
      </c>
      <c r="J149" s="36">
        <v>60500</v>
      </c>
      <c r="K149" s="36">
        <v>4500</v>
      </c>
      <c r="L149" s="34">
        <v>3.9</v>
      </c>
      <c r="M149" s="36">
        <v>20</v>
      </c>
      <c r="N149" s="36">
        <v>13</v>
      </c>
      <c r="O149" s="36">
        <v>23</v>
      </c>
      <c r="P149" s="34">
        <v>4.2</v>
      </c>
      <c r="Q149" s="34" t="s">
        <v>28</v>
      </c>
      <c r="R149" s="34" t="s">
        <v>28</v>
      </c>
      <c r="S149" s="34" t="s">
        <v>34</v>
      </c>
      <c r="T149" s="35">
        <v>45167</v>
      </c>
      <c r="U149" s="34">
        <v>4</v>
      </c>
      <c r="V149" s="34">
        <v>4.3</v>
      </c>
      <c r="W149" s="34" t="s">
        <v>405</v>
      </c>
      <c r="X149" s="34" t="s">
        <v>715</v>
      </c>
    </row>
    <row r="150" spans="1:24" x14ac:dyDescent="0.3">
      <c r="A150" s="34" t="s">
        <v>308</v>
      </c>
      <c r="B150" s="35">
        <v>44867</v>
      </c>
      <c r="C150" s="34" t="s">
        <v>23</v>
      </c>
      <c r="D150" s="34" t="s">
        <v>41</v>
      </c>
      <c r="E150" s="36">
        <v>21</v>
      </c>
      <c r="F150" s="34" t="s">
        <v>25</v>
      </c>
      <c r="G150" s="34" t="s">
        <v>42</v>
      </c>
      <c r="H150" s="34" t="s">
        <v>55</v>
      </c>
      <c r="I150" s="34">
        <v>0</v>
      </c>
      <c r="J150" s="36">
        <v>76400</v>
      </c>
      <c r="K150" s="36">
        <v>6000</v>
      </c>
      <c r="L150" s="34">
        <v>3.9</v>
      </c>
      <c r="M150" s="36">
        <v>9</v>
      </c>
      <c r="N150" s="36">
        <v>8</v>
      </c>
      <c r="O150" s="36">
        <v>23</v>
      </c>
      <c r="P150" s="34">
        <v>2.6</v>
      </c>
      <c r="Q150" s="34" t="s">
        <v>28</v>
      </c>
      <c r="R150" s="34" t="s">
        <v>28</v>
      </c>
      <c r="S150" s="34" t="s">
        <v>60</v>
      </c>
      <c r="T150" s="35">
        <v>45419</v>
      </c>
      <c r="U150" s="34">
        <v>3.5</v>
      </c>
      <c r="V150" s="34">
        <v>3.9</v>
      </c>
      <c r="W150" s="34" t="s">
        <v>403</v>
      </c>
      <c r="X150" s="34" t="s">
        <v>716</v>
      </c>
    </row>
    <row r="151" spans="1:24" x14ac:dyDescent="0.3">
      <c r="A151" s="34" t="s">
        <v>309</v>
      </c>
      <c r="B151" s="35">
        <v>44482</v>
      </c>
      <c r="C151" s="34" t="s">
        <v>32</v>
      </c>
      <c r="D151" s="34" t="s">
        <v>41</v>
      </c>
      <c r="E151" s="36">
        <v>27</v>
      </c>
      <c r="F151" s="34" t="s">
        <v>25</v>
      </c>
      <c r="G151" s="34" t="s">
        <v>33</v>
      </c>
      <c r="H151" s="34" t="s">
        <v>55</v>
      </c>
      <c r="I151" s="34">
        <v>1.1000000000000001</v>
      </c>
      <c r="J151" s="36">
        <v>51900</v>
      </c>
      <c r="K151" s="36">
        <v>1500</v>
      </c>
      <c r="L151" s="34">
        <v>4.5</v>
      </c>
      <c r="M151" s="36">
        <v>28</v>
      </c>
      <c r="N151" s="36">
        <v>8</v>
      </c>
      <c r="O151" s="36">
        <v>8</v>
      </c>
      <c r="P151" s="34">
        <v>3.3</v>
      </c>
      <c r="Q151" s="34" t="s">
        <v>29</v>
      </c>
      <c r="R151" s="34" t="s">
        <v>28</v>
      </c>
      <c r="S151" s="34" t="s">
        <v>38</v>
      </c>
      <c r="T151" s="35">
        <v>45159</v>
      </c>
      <c r="U151" s="34">
        <v>4</v>
      </c>
      <c r="V151" s="34">
        <v>4.5999999999999996</v>
      </c>
      <c r="W151" s="34" t="s">
        <v>403</v>
      </c>
      <c r="X151" s="34" t="s">
        <v>717</v>
      </c>
    </row>
    <row r="152" spans="1:24" x14ac:dyDescent="0.3">
      <c r="A152" s="34" t="s">
        <v>312</v>
      </c>
      <c r="B152" s="35">
        <v>44897</v>
      </c>
      <c r="C152" s="34" t="s">
        <v>36</v>
      </c>
      <c r="D152" s="34" t="s">
        <v>41</v>
      </c>
      <c r="E152" s="36">
        <v>32</v>
      </c>
      <c r="F152" s="34" t="s">
        <v>25</v>
      </c>
      <c r="G152" s="34" t="s">
        <v>33</v>
      </c>
      <c r="H152" s="34" t="s">
        <v>55</v>
      </c>
      <c r="I152" s="34">
        <v>6.1</v>
      </c>
      <c r="J152" s="36">
        <v>75900</v>
      </c>
      <c r="K152" s="36">
        <v>3100</v>
      </c>
      <c r="L152" s="34">
        <v>3.7</v>
      </c>
      <c r="M152" s="36">
        <v>5</v>
      </c>
      <c r="N152" s="36">
        <v>12</v>
      </c>
      <c r="O152" s="36">
        <v>19</v>
      </c>
      <c r="P152" s="34">
        <v>3.3</v>
      </c>
      <c r="Q152" s="34" t="s">
        <v>28</v>
      </c>
      <c r="R152" s="34" t="s">
        <v>28</v>
      </c>
      <c r="S152" s="34" t="s">
        <v>30</v>
      </c>
      <c r="T152" s="35">
        <v>45538</v>
      </c>
      <c r="U152" s="34">
        <v>3.8</v>
      </c>
      <c r="V152" s="34">
        <v>4.3</v>
      </c>
      <c r="W152" s="34" t="s">
        <v>405</v>
      </c>
      <c r="X152" s="34" t="s">
        <v>718</v>
      </c>
    </row>
    <row r="153" spans="1:24" x14ac:dyDescent="0.3">
      <c r="A153" s="34" t="s">
        <v>318</v>
      </c>
      <c r="B153" s="35">
        <v>45265</v>
      </c>
      <c r="C153" s="34" t="s">
        <v>32</v>
      </c>
      <c r="D153" s="34" t="s">
        <v>41</v>
      </c>
      <c r="E153" s="36">
        <v>22</v>
      </c>
      <c r="F153" s="34" t="s">
        <v>25</v>
      </c>
      <c r="G153" s="34" t="s">
        <v>33</v>
      </c>
      <c r="H153" s="34" t="s">
        <v>37</v>
      </c>
      <c r="I153" s="34">
        <v>0</v>
      </c>
      <c r="J153" s="36">
        <v>47900</v>
      </c>
      <c r="K153" s="36">
        <v>5400</v>
      </c>
      <c r="L153" s="34">
        <v>3.2</v>
      </c>
      <c r="M153" s="36">
        <v>27</v>
      </c>
      <c r="N153" s="36">
        <v>9</v>
      </c>
      <c r="O153" s="36">
        <v>28</v>
      </c>
      <c r="P153" s="34">
        <v>3.5</v>
      </c>
      <c r="Q153" s="34" t="s">
        <v>28</v>
      </c>
      <c r="R153" s="34" t="s">
        <v>28</v>
      </c>
      <c r="S153" s="34" t="s">
        <v>60</v>
      </c>
      <c r="T153" s="35">
        <v>45719</v>
      </c>
      <c r="U153" s="34">
        <v>2.5</v>
      </c>
      <c r="V153" s="34">
        <v>2.5</v>
      </c>
      <c r="W153" s="34" t="s">
        <v>403</v>
      </c>
      <c r="X153" s="34" t="s">
        <v>719</v>
      </c>
    </row>
    <row r="154" spans="1:24" x14ac:dyDescent="0.3">
      <c r="A154" s="34" t="s">
        <v>324</v>
      </c>
      <c r="B154" s="35">
        <v>44867</v>
      </c>
      <c r="C154" s="34" t="s">
        <v>36</v>
      </c>
      <c r="D154" s="34" t="s">
        <v>41</v>
      </c>
      <c r="E154" s="36">
        <v>28</v>
      </c>
      <c r="F154" s="34" t="s">
        <v>25</v>
      </c>
      <c r="G154" s="34" t="s">
        <v>33</v>
      </c>
      <c r="H154" s="34" t="s">
        <v>55</v>
      </c>
      <c r="I154" s="34">
        <v>4.5999999999999996</v>
      </c>
      <c r="J154" s="36">
        <v>65100</v>
      </c>
      <c r="K154" s="36">
        <v>1800</v>
      </c>
      <c r="L154" s="34">
        <v>3.8</v>
      </c>
      <c r="M154" s="36">
        <v>19</v>
      </c>
      <c r="N154" s="36">
        <v>9</v>
      </c>
      <c r="O154" s="36">
        <v>12</v>
      </c>
      <c r="P154" s="34">
        <v>3.9</v>
      </c>
      <c r="Q154" s="34" t="s">
        <v>28</v>
      </c>
      <c r="R154" s="34" t="s">
        <v>28</v>
      </c>
      <c r="S154" s="34" t="s">
        <v>34</v>
      </c>
      <c r="T154" s="35">
        <v>45935</v>
      </c>
      <c r="U154" s="34">
        <v>4.0999999999999996</v>
      </c>
      <c r="V154" s="34">
        <v>4.5</v>
      </c>
      <c r="W154" s="34" t="s">
        <v>405</v>
      </c>
      <c r="X154" s="34" t="s">
        <v>720</v>
      </c>
    </row>
    <row r="155" spans="1:24" x14ac:dyDescent="0.3">
      <c r="A155" s="34" t="s">
        <v>329</v>
      </c>
      <c r="B155" s="35">
        <v>44403</v>
      </c>
      <c r="C155" s="34" t="s">
        <v>32</v>
      </c>
      <c r="D155" s="34" t="s">
        <v>41</v>
      </c>
      <c r="E155" s="36">
        <v>22</v>
      </c>
      <c r="F155" s="34" t="s">
        <v>57</v>
      </c>
      <c r="G155" s="34" t="s">
        <v>26</v>
      </c>
      <c r="H155" s="34" t="s">
        <v>37</v>
      </c>
      <c r="I155" s="34">
        <v>2.4</v>
      </c>
      <c r="J155" s="36">
        <v>49800</v>
      </c>
      <c r="K155" s="36">
        <v>3000</v>
      </c>
      <c r="L155" s="34">
        <v>3.3</v>
      </c>
      <c r="M155" s="36">
        <v>36</v>
      </c>
      <c r="N155" s="36">
        <v>12</v>
      </c>
      <c r="O155" s="36">
        <v>8</v>
      </c>
      <c r="P155" s="34">
        <v>3.2</v>
      </c>
      <c r="Q155" s="34" t="s">
        <v>29</v>
      </c>
      <c r="R155" s="34" t="s">
        <v>28</v>
      </c>
      <c r="S155" s="34" t="s">
        <v>43</v>
      </c>
      <c r="T155" s="35">
        <v>44701</v>
      </c>
      <c r="U155" s="34">
        <v>4.2</v>
      </c>
      <c r="V155" s="34">
        <v>4.5</v>
      </c>
      <c r="W155" s="34" t="s">
        <v>403</v>
      </c>
      <c r="X155" s="34" t="s">
        <v>721</v>
      </c>
    </row>
    <row r="156" spans="1:24" x14ac:dyDescent="0.3">
      <c r="A156" s="34" t="s">
        <v>330</v>
      </c>
      <c r="B156" s="35">
        <v>44847</v>
      </c>
      <c r="C156" s="34" t="s">
        <v>48</v>
      </c>
      <c r="D156" s="34" t="s">
        <v>41</v>
      </c>
      <c r="E156" s="36">
        <v>24</v>
      </c>
      <c r="F156" s="34" t="s">
        <v>25</v>
      </c>
      <c r="G156" s="34" t="s">
        <v>33</v>
      </c>
      <c r="H156" s="34" t="s">
        <v>52</v>
      </c>
      <c r="I156" s="34">
        <v>1</v>
      </c>
      <c r="J156" s="36">
        <v>51300</v>
      </c>
      <c r="K156" s="36">
        <v>2700</v>
      </c>
      <c r="L156" s="34">
        <v>4.2</v>
      </c>
      <c r="M156" s="36">
        <v>24</v>
      </c>
      <c r="N156" s="36">
        <v>8</v>
      </c>
      <c r="O156" s="36">
        <v>15</v>
      </c>
      <c r="P156" s="34">
        <v>4.4000000000000004</v>
      </c>
      <c r="Q156" s="34" t="s">
        <v>28</v>
      </c>
      <c r="R156" s="34" t="s">
        <v>28</v>
      </c>
      <c r="S156" s="34" t="s">
        <v>43</v>
      </c>
      <c r="T156" s="35">
        <v>45454</v>
      </c>
      <c r="U156" s="34">
        <v>4</v>
      </c>
      <c r="V156" s="34">
        <v>4.2</v>
      </c>
      <c r="W156" s="34" t="s">
        <v>403</v>
      </c>
      <c r="X156" s="34" t="s">
        <v>722</v>
      </c>
    </row>
    <row r="157" spans="1:24" x14ac:dyDescent="0.3">
      <c r="A157" s="34" t="s">
        <v>331</v>
      </c>
      <c r="B157" s="35">
        <v>45480</v>
      </c>
      <c r="C157" s="34" t="s">
        <v>54</v>
      </c>
      <c r="D157" s="34" t="s">
        <v>24</v>
      </c>
      <c r="E157" s="36">
        <v>29</v>
      </c>
      <c r="F157" s="34" t="s">
        <v>25</v>
      </c>
      <c r="G157" s="34" t="s">
        <v>26</v>
      </c>
      <c r="H157" s="34" t="s">
        <v>52</v>
      </c>
      <c r="I157" s="34">
        <v>5.3</v>
      </c>
      <c r="J157" s="36">
        <v>59500</v>
      </c>
      <c r="K157" s="36">
        <v>3700</v>
      </c>
      <c r="L157" s="34">
        <v>3.8</v>
      </c>
      <c r="M157" s="36">
        <v>11</v>
      </c>
      <c r="N157" s="36">
        <v>7</v>
      </c>
      <c r="O157" s="36">
        <v>14</v>
      </c>
      <c r="P157" s="34">
        <v>2.5</v>
      </c>
      <c r="Q157" s="34" t="s">
        <v>28</v>
      </c>
      <c r="R157" s="34" t="s">
        <v>28</v>
      </c>
      <c r="S157" s="34" t="s">
        <v>34</v>
      </c>
      <c r="T157" s="35">
        <v>45831</v>
      </c>
      <c r="U157" s="34">
        <v>3.8</v>
      </c>
      <c r="V157" s="34">
        <v>4</v>
      </c>
      <c r="W157" s="34" t="s">
        <v>405</v>
      </c>
      <c r="X157" s="34" t="s">
        <v>723</v>
      </c>
    </row>
    <row r="158" spans="1:24" x14ac:dyDescent="0.3">
      <c r="A158" s="34" t="s">
        <v>340</v>
      </c>
      <c r="B158" s="35">
        <v>45184</v>
      </c>
      <c r="C158" s="34" t="s">
        <v>32</v>
      </c>
      <c r="D158" s="34" t="s">
        <v>24</v>
      </c>
      <c r="E158" s="36">
        <v>26</v>
      </c>
      <c r="F158" s="34" t="s">
        <v>25</v>
      </c>
      <c r="G158" s="34" t="s">
        <v>51</v>
      </c>
      <c r="H158" s="34" t="s">
        <v>46</v>
      </c>
      <c r="I158" s="34">
        <v>4.5999999999999996</v>
      </c>
      <c r="J158" s="36">
        <v>47500</v>
      </c>
      <c r="K158" s="36">
        <v>4000</v>
      </c>
      <c r="L158" s="34">
        <v>3.6</v>
      </c>
      <c r="M158" s="36">
        <v>28</v>
      </c>
      <c r="N158" s="36">
        <v>12</v>
      </c>
      <c r="O158" s="36">
        <v>15</v>
      </c>
      <c r="P158" s="34">
        <v>4.5</v>
      </c>
      <c r="Q158" s="34" t="s">
        <v>28</v>
      </c>
      <c r="R158" s="34" t="s">
        <v>28</v>
      </c>
      <c r="S158" s="34" t="s">
        <v>34</v>
      </c>
      <c r="T158" s="35">
        <v>46182</v>
      </c>
      <c r="U158" s="34">
        <v>3.2</v>
      </c>
      <c r="V158" s="34">
        <v>3.7</v>
      </c>
      <c r="W158" s="34" t="s">
        <v>405</v>
      </c>
      <c r="X158" s="34" t="s">
        <v>724</v>
      </c>
    </row>
    <row r="159" spans="1:24" x14ac:dyDescent="0.3">
      <c r="A159" s="34" t="s">
        <v>346</v>
      </c>
      <c r="B159" s="35">
        <v>45081</v>
      </c>
      <c r="C159" s="34" t="s">
        <v>23</v>
      </c>
      <c r="D159" s="34" t="s">
        <v>41</v>
      </c>
      <c r="E159" s="36">
        <v>33</v>
      </c>
      <c r="F159" s="34" t="s">
        <v>50</v>
      </c>
      <c r="G159" s="34" t="s">
        <v>26</v>
      </c>
      <c r="H159" s="34" t="s">
        <v>55</v>
      </c>
      <c r="I159" s="34">
        <v>6.8</v>
      </c>
      <c r="J159" s="36">
        <v>55100</v>
      </c>
      <c r="K159" s="36">
        <v>5400</v>
      </c>
      <c r="L159" s="34">
        <v>3.2</v>
      </c>
      <c r="M159" s="36">
        <v>13</v>
      </c>
      <c r="N159" s="36">
        <v>12</v>
      </c>
      <c r="O159" s="36">
        <v>3</v>
      </c>
      <c r="P159" s="34">
        <v>2.8</v>
      </c>
      <c r="Q159" s="34" t="s">
        <v>29</v>
      </c>
      <c r="R159" s="34" t="s">
        <v>28</v>
      </c>
      <c r="S159" s="34" t="s">
        <v>38</v>
      </c>
      <c r="T159" s="35">
        <v>46151</v>
      </c>
      <c r="U159" s="34">
        <v>3.5</v>
      </c>
      <c r="V159" s="34">
        <v>3.9</v>
      </c>
      <c r="W159" s="34" t="s">
        <v>405</v>
      </c>
      <c r="X159" s="34" t="s">
        <v>725</v>
      </c>
    </row>
    <row r="160" spans="1:24" x14ac:dyDescent="0.3">
      <c r="A160" s="34" t="s">
        <v>69</v>
      </c>
      <c r="B160" s="35">
        <v>44440</v>
      </c>
      <c r="C160" s="34" t="s">
        <v>23</v>
      </c>
      <c r="D160" s="34" t="s">
        <v>24</v>
      </c>
      <c r="E160" s="36">
        <v>43</v>
      </c>
      <c r="F160" s="34" t="s">
        <v>57</v>
      </c>
      <c r="G160" s="34" t="s">
        <v>51</v>
      </c>
      <c r="H160" s="34" t="s">
        <v>46</v>
      </c>
      <c r="I160" s="34">
        <v>19.5</v>
      </c>
      <c r="J160" s="36">
        <v>108500</v>
      </c>
      <c r="K160" s="36">
        <v>3600</v>
      </c>
      <c r="L160" s="34">
        <v>4.4000000000000004</v>
      </c>
      <c r="M160" s="36">
        <v>36</v>
      </c>
      <c r="N160" s="36">
        <v>14</v>
      </c>
      <c r="O160" s="36">
        <v>5</v>
      </c>
      <c r="P160" s="34">
        <v>3.4</v>
      </c>
      <c r="Q160" s="34" t="s">
        <v>28</v>
      </c>
      <c r="R160" s="34" t="s">
        <v>29</v>
      </c>
      <c r="S160" s="34" t="s">
        <v>30</v>
      </c>
      <c r="T160" s="35">
        <v>45166</v>
      </c>
      <c r="U160" s="34">
        <v>3.3</v>
      </c>
      <c r="V160" s="34">
        <v>3.4</v>
      </c>
      <c r="W160" s="34" t="s">
        <v>407</v>
      </c>
      <c r="X160" s="34" t="s">
        <v>726</v>
      </c>
    </row>
    <row r="161" spans="1:24" x14ac:dyDescent="0.3">
      <c r="A161" s="34" t="s">
        <v>75</v>
      </c>
      <c r="B161" s="35">
        <v>44644</v>
      </c>
      <c r="C161" s="34" t="s">
        <v>48</v>
      </c>
      <c r="D161" s="34" t="s">
        <v>24</v>
      </c>
      <c r="E161" s="36">
        <v>53</v>
      </c>
      <c r="F161" s="34" t="s">
        <v>57</v>
      </c>
      <c r="G161" s="34" t="s">
        <v>26</v>
      </c>
      <c r="H161" s="34" t="s">
        <v>27</v>
      </c>
      <c r="I161" s="34">
        <v>28.5</v>
      </c>
      <c r="J161" s="36">
        <v>129600</v>
      </c>
      <c r="K161" s="36">
        <v>3800</v>
      </c>
      <c r="L161" s="34">
        <v>2.7</v>
      </c>
      <c r="M161" s="36">
        <v>34</v>
      </c>
      <c r="N161" s="36">
        <v>24</v>
      </c>
      <c r="O161" s="36">
        <v>8</v>
      </c>
      <c r="P161" s="34">
        <v>3.6</v>
      </c>
      <c r="Q161" s="34" t="s">
        <v>28</v>
      </c>
      <c r="R161" s="34" t="s">
        <v>28</v>
      </c>
      <c r="S161" s="34" t="s">
        <v>60</v>
      </c>
      <c r="T161" s="35">
        <v>45813</v>
      </c>
      <c r="U161" s="34">
        <v>3.9</v>
      </c>
      <c r="V161" s="34">
        <v>4</v>
      </c>
      <c r="W161" s="34" t="s">
        <v>407</v>
      </c>
      <c r="X161" s="34" t="s">
        <v>727</v>
      </c>
    </row>
    <row r="162" spans="1:24" x14ac:dyDescent="0.3">
      <c r="A162" s="34" t="s">
        <v>77</v>
      </c>
      <c r="B162" s="35">
        <v>45100</v>
      </c>
      <c r="C162" s="34" t="s">
        <v>32</v>
      </c>
      <c r="D162" s="34" t="s">
        <v>24</v>
      </c>
      <c r="E162" s="36">
        <v>33</v>
      </c>
      <c r="F162" s="34" t="s">
        <v>57</v>
      </c>
      <c r="G162" s="34" t="s">
        <v>26</v>
      </c>
      <c r="H162" s="34" t="s">
        <v>63</v>
      </c>
      <c r="I162" s="34">
        <v>10.199999999999999</v>
      </c>
      <c r="J162" s="36">
        <v>74200</v>
      </c>
      <c r="K162" s="36">
        <v>6100</v>
      </c>
      <c r="L162" s="34">
        <v>3.6</v>
      </c>
      <c r="M162" s="36">
        <v>28</v>
      </c>
      <c r="N162" s="36">
        <v>11</v>
      </c>
      <c r="O162" s="36">
        <v>0</v>
      </c>
      <c r="P162" s="34">
        <v>1.9</v>
      </c>
      <c r="Q162" s="34" t="s">
        <v>29</v>
      </c>
      <c r="R162" s="34" t="s">
        <v>28</v>
      </c>
      <c r="S162" s="34" t="s">
        <v>43</v>
      </c>
      <c r="T162" s="35">
        <v>45496</v>
      </c>
      <c r="U162" s="34">
        <v>4.5999999999999996</v>
      </c>
      <c r="V162" s="34">
        <v>5</v>
      </c>
      <c r="W162" s="34" t="s">
        <v>407</v>
      </c>
      <c r="X162" s="34" t="s">
        <v>728</v>
      </c>
    </row>
    <row r="163" spans="1:24" x14ac:dyDescent="0.3">
      <c r="A163" s="34" t="s">
        <v>83</v>
      </c>
      <c r="B163" s="35">
        <v>44936</v>
      </c>
      <c r="C163" s="34" t="s">
        <v>40</v>
      </c>
      <c r="D163" s="34" t="s">
        <v>24</v>
      </c>
      <c r="E163" s="36">
        <v>30</v>
      </c>
      <c r="F163" s="34" t="s">
        <v>57</v>
      </c>
      <c r="G163" s="34" t="s">
        <v>51</v>
      </c>
      <c r="H163" s="34" t="s">
        <v>52</v>
      </c>
      <c r="I163" s="34">
        <v>10</v>
      </c>
      <c r="J163" s="36">
        <v>70500</v>
      </c>
      <c r="K163" s="36">
        <v>5600</v>
      </c>
      <c r="L163" s="34">
        <v>4.0999999999999996</v>
      </c>
      <c r="M163" s="36">
        <v>6</v>
      </c>
      <c r="N163" s="36">
        <v>11</v>
      </c>
      <c r="O163" s="36">
        <v>9</v>
      </c>
      <c r="P163" s="34">
        <v>2.6</v>
      </c>
      <c r="Q163" s="34" t="s">
        <v>28</v>
      </c>
      <c r="R163" s="34" t="s">
        <v>29</v>
      </c>
      <c r="S163" s="34" t="s">
        <v>60</v>
      </c>
      <c r="T163" s="35">
        <v>46090</v>
      </c>
      <c r="U163" s="34">
        <v>2.8</v>
      </c>
      <c r="V163" s="34">
        <v>2.9</v>
      </c>
      <c r="W163" s="34" t="s">
        <v>407</v>
      </c>
      <c r="X163" s="34" t="s">
        <v>729</v>
      </c>
    </row>
    <row r="164" spans="1:24" x14ac:dyDescent="0.3">
      <c r="A164" s="34" t="s">
        <v>87</v>
      </c>
      <c r="B164" s="35">
        <v>44576</v>
      </c>
      <c r="C164" s="34" t="s">
        <v>36</v>
      </c>
      <c r="D164" s="34" t="s">
        <v>41</v>
      </c>
      <c r="E164" s="36">
        <v>47</v>
      </c>
      <c r="F164" s="34" t="s">
        <v>50</v>
      </c>
      <c r="G164" s="34" t="s">
        <v>26</v>
      </c>
      <c r="H164" s="34" t="s">
        <v>55</v>
      </c>
      <c r="I164" s="34">
        <v>20.9</v>
      </c>
      <c r="J164" s="36">
        <v>103100</v>
      </c>
      <c r="K164" s="36">
        <v>11600</v>
      </c>
      <c r="L164" s="34">
        <v>2.5</v>
      </c>
      <c r="M164" s="36">
        <v>35</v>
      </c>
      <c r="N164" s="36">
        <v>15</v>
      </c>
      <c r="O164" s="36">
        <v>3</v>
      </c>
      <c r="P164" s="34">
        <v>4.2</v>
      </c>
      <c r="Q164" s="34" t="s">
        <v>28</v>
      </c>
      <c r="R164" s="34" t="s">
        <v>28</v>
      </c>
      <c r="S164" s="34" t="s">
        <v>60</v>
      </c>
      <c r="T164" s="35">
        <v>45751</v>
      </c>
      <c r="U164" s="34">
        <v>2.8</v>
      </c>
      <c r="V164" s="34">
        <v>3.3</v>
      </c>
      <c r="W164" s="34" t="s">
        <v>407</v>
      </c>
      <c r="X164" s="34" t="s">
        <v>730</v>
      </c>
    </row>
    <row r="165" spans="1:24" x14ac:dyDescent="0.3">
      <c r="A165" s="34" t="s">
        <v>90</v>
      </c>
      <c r="B165" s="35">
        <v>44224</v>
      </c>
      <c r="C165" s="34" t="s">
        <v>23</v>
      </c>
      <c r="D165" s="34" t="s">
        <v>24</v>
      </c>
      <c r="E165" s="36">
        <v>53</v>
      </c>
      <c r="F165" s="34" t="s">
        <v>57</v>
      </c>
      <c r="G165" s="34" t="s">
        <v>51</v>
      </c>
      <c r="H165" s="34" t="s">
        <v>46</v>
      </c>
      <c r="I165" s="34">
        <v>29.9</v>
      </c>
      <c r="J165" s="36">
        <v>130000</v>
      </c>
      <c r="K165" s="36">
        <v>5100</v>
      </c>
      <c r="L165" s="34">
        <v>2.9</v>
      </c>
      <c r="M165" s="36">
        <v>16</v>
      </c>
      <c r="N165" s="36">
        <v>18</v>
      </c>
      <c r="O165" s="36">
        <v>13</v>
      </c>
      <c r="P165" s="34">
        <v>3</v>
      </c>
      <c r="Q165" s="34" t="s">
        <v>28</v>
      </c>
      <c r="R165" s="34" t="s">
        <v>28</v>
      </c>
      <c r="S165" s="34" t="s">
        <v>30</v>
      </c>
      <c r="T165" s="35">
        <v>44603</v>
      </c>
      <c r="U165" s="34">
        <v>3.1</v>
      </c>
      <c r="V165" s="34">
        <v>3.6</v>
      </c>
      <c r="W165" s="34" t="s">
        <v>407</v>
      </c>
      <c r="X165" s="34" t="s">
        <v>731</v>
      </c>
    </row>
    <row r="166" spans="1:24" x14ac:dyDescent="0.3">
      <c r="A166" s="34" t="s">
        <v>100</v>
      </c>
      <c r="B166" s="35">
        <v>44974</v>
      </c>
      <c r="C166" s="34" t="s">
        <v>23</v>
      </c>
      <c r="D166" s="34" t="s">
        <v>24</v>
      </c>
      <c r="E166" s="36">
        <v>49</v>
      </c>
      <c r="F166" s="34" t="s">
        <v>57</v>
      </c>
      <c r="G166" s="34" t="s">
        <v>51</v>
      </c>
      <c r="H166" s="34" t="s">
        <v>46</v>
      </c>
      <c r="I166" s="34">
        <v>29.7</v>
      </c>
      <c r="J166" s="36">
        <v>129100</v>
      </c>
      <c r="K166" s="36">
        <v>15300</v>
      </c>
      <c r="L166" s="34">
        <v>2.8</v>
      </c>
      <c r="M166" s="36">
        <v>12</v>
      </c>
      <c r="N166" s="36">
        <v>9</v>
      </c>
      <c r="O166" s="36">
        <v>8</v>
      </c>
      <c r="P166" s="34">
        <v>5</v>
      </c>
      <c r="Q166" s="34" t="s">
        <v>28</v>
      </c>
      <c r="R166" s="34" t="s">
        <v>28</v>
      </c>
      <c r="S166" s="34" t="s">
        <v>30</v>
      </c>
      <c r="T166" s="35">
        <v>46044</v>
      </c>
      <c r="U166" s="34">
        <v>3.9</v>
      </c>
      <c r="V166" s="34">
        <v>4.5</v>
      </c>
      <c r="W166" s="34" t="s">
        <v>407</v>
      </c>
      <c r="X166" s="34" t="s">
        <v>732</v>
      </c>
    </row>
    <row r="167" spans="1:24" x14ac:dyDescent="0.3">
      <c r="A167" s="34" t="s">
        <v>103</v>
      </c>
      <c r="B167" s="35">
        <v>45922</v>
      </c>
      <c r="C167" s="34" t="s">
        <v>40</v>
      </c>
      <c r="D167" s="34" t="s">
        <v>24</v>
      </c>
      <c r="E167" s="36">
        <v>58</v>
      </c>
      <c r="F167" s="34" t="s">
        <v>57</v>
      </c>
      <c r="G167" s="34" t="s">
        <v>42</v>
      </c>
      <c r="H167" s="34" t="s">
        <v>37</v>
      </c>
      <c r="I167" s="34">
        <v>35</v>
      </c>
      <c r="J167" s="36">
        <v>196000</v>
      </c>
      <c r="K167" s="36">
        <v>8900</v>
      </c>
      <c r="L167" s="34">
        <v>3.8</v>
      </c>
      <c r="M167" s="36">
        <v>34</v>
      </c>
      <c r="N167" s="36">
        <v>12</v>
      </c>
      <c r="O167" s="36">
        <v>20</v>
      </c>
      <c r="P167" s="34">
        <v>3.6</v>
      </c>
      <c r="Q167" s="34" t="s">
        <v>28</v>
      </c>
      <c r="R167" s="34" t="s">
        <v>28</v>
      </c>
      <c r="S167" s="34" t="s">
        <v>43</v>
      </c>
      <c r="T167" s="35">
        <v>46166</v>
      </c>
      <c r="U167" s="34">
        <v>3.8</v>
      </c>
      <c r="V167" s="34">
        <v>3.9</v>
      </c>
      <c r="W167" s="34" t="s">
        <v>407</v>
      </c>
      <c r="X167" s="34" t="s">
        <v>733</v>
      </c>
    </row>
    <row r="168" spans="1:24" x14ac:dyDescent="0.3">
      <c r="A168" s="34" t="s">
        <v>110</v>
      </c>
      <c r="B168" s="35">
        <v>45215</v>
      </c>
      <c r="C168" s="34" t="s">
        <v>54</v>
      </c>
      <c r="D168" s="34" t="s">
        <v>41</v>
      </c>
      <c r="E168" s="36">
        <v>56</v>
      </c>
      <c r="F168" s="34" t="s">
        <v>57</v>
      </c>
      <c r="G168" s="34" t="s">
        <v>33</v>
      </c>
      <c r="H168" s="34" t="s">
        <v>46</v>
      </c>
      <c r="I168" s="34">
        <v>32.799999999999997</v>
      </c>
      <c r="J168" s="36">
        <v>164100</v>
      </c>
      <c r="K168" s="36">
        <v>15300</v>
      </c>
      <c r="L168" s="34">
        <v>4.0999999999999996</v>
      </c>
      <c r="M168" s="36">
        <v>34</v>
      </c>
      <c r="N168" s="36">
        <v>12</v>
      </c>
      <c r="O168" s="36">
        <v>12</v>
      </c>
      <c r="P168" s="34">
        <v>3.8</v>
      </c>
      <c r="Q168" s="34" t="s">
        <v>28</v>
      </c>
      <c r="R168" s="34" t="s">
        <v>29</v>
      </c>
      <c r="S168" s="34" t="s">
        <v>30</v>
      </c>
      <c r="T168" s="35">
        <v>45937</v>
      </c>
      <c r="U168" s="34">
        <v>4.4000000000000004</v>
      </c>
      <c r="V168" s="34">
        <v>3.9</v>
      </c>
      <c r="W168" s="34" t="s">
        <v>407</v>
      </c>
      <c r="X168" s="34" t="s">
        <v>734</v>
      </c>
    </row>
    <row r="169" spans="1:24" x14ac:dyDescent="0.3">
      <c r="A169" s="34" t="s">
        <v>113</v>
      </c>
      <c r="B169" s="35">
        <v>45220</v>
      </c>
      <c r="C169" s="34" t="s">
        <v>48</v>
      </c>
      <c r="D169" s="34" t="s">
        <v>24</v>
      </c>
      <c r="E169" s="36">
        <v>50</v>
      </c>
      <c r="F169" s="34" t="s">
        <v>50</v>
      </c>
      <c r="G169" s="34" t="s">
        <v>51</v>
      </c>
      <c r="H169" s="34" t="s">
        <v>46</v>
      </c>
      <c r="I169" s="34">
        <v>31.1</v>
      </c>
      <c r="J169" s="36">
        <v>135500</v>
      </c>
      <c r="K169" s="36">
        <v>15000</v>
      </c>
      <c r="L169" s="34">
        <v>3.5</v>
      </c>
      <c r="M169" s="36">
        <v>27</v>
      </c>
      <c r="N169" s="36">
        <v>13</v>
      </c>
      <c r="O169" s="36">
        <v>10</v>
      </c>
      <c r="P169" s="34">
        <v>4.0999999999999996</v>
      </c>
      <c r="Q169" s="34" t="s">
        <v>28</v>
      </c>
      <c r="R169" s="34" t="s">
        <v>28</v>
      </c>
      <c r="S169" s="34" t="s">
        <v>34</v>
      </c>
      <c r="T169" s="35">
        <v>45538</v>
      </c>
      <c r="U169" s="34">
        <v>4.0999999999999996</v>
      </c>
      <c r="V169" s="34">
        <v>4.9000000000000004</v>
      </c>
      <c r="W169" s="34" t="s">
        <v>407</v>
      </c>
      <c r="X169" s="34" t="s">
        <v>735</v>
      </c>
    </row>
    <row r="170" spans="1:24" x14ac:dyDescent="0.3">
      <c r="A170" s="34" t="s">
        <v>118</v>
      </c>
      <c r="B170" s="35">
        <v>44525</v>
      </c>
      <c r="C170" s="34" t="s">
        <v>23</v>
      </c>
      <c r="D170" s="34" t="s">
        <v>24</v>
      </c>
      <c r="E170" s="36">
        <v>37</v>
      </c>
      <c r="F170" s="34" t="s">
        <v>57</v>
      </c>
      <c r="G170" s="34" t="s">
        <v>51</v>
      </c>
      <c r="H170" s="34" t="s">
        <v>63</v>
      </c>
      <c r="I170" s="34">
        <v>16.600000000000001</v>
      </c>
      <c r="J170" s="36">
        <v>82800</v>
      </c>
      <c r="K170" s="36">
        <v>4100</v>
      </c>
      <c r="L170" s="34">
        <v>4.0999999999999996</v>
      </c>
      <c r="M170" s="36">
        <v>26</v>
      </c>
      <c r="N170" s="36">
        <v>15</v>
      </c>
      <c r="O170" s="36">
        <v>26</v>
      </c>
      <c r="P170" s="34">
        <v>3.8</v>
      </c>
      <c r="Q170" s="34" t="s">
        <v>28</v>
      </c>
      <c r="R170" s="34" t="s">
        <v>29</v>
      </c>
      <c r="S170" s="34" t="s">
        <v>43</v>
      </c>
      <c r="T170" s="35">
        <v>45469</v>
      </c>
      <c r="U170" s="34">
        <v>3.5</v>
      </c>
      <c r="V170" s="34">
        <v>3.5</v>
      </c>
      <c r="W170" s="34" t="s">
        <v>407</v>
      </c>
      <c r="X170" s="34" t="s">
        <v>736</v>
      </c>
    </row>
    <row r="171" spans="1:24" x14ac:dyDescent="0.3">
      <c r="A171" s="34" t="s">
        <v>123</v>
      </c>
      <c r="B171" s="35">
        <v>45449</v>
      </c>
      <c r="C171" s="34" t="s">
        <v>48</v>
      </c>
      <c r="D171" s="34" t="s">
        <v>41</v>
      </c>
      <c r="E171" s="36">
        <v>43</v>
      </c>
      <c r="F171" s="34" t="s">
        <v>57</v>
      </c>
      <c r="G171" s="34" t="s">
        <v>33</v>
      </c>
      <c r="H171" s="34" t="s">
        <v>55</v>
      </c>
      <c r="I171" s="34">
        <v>15.2</v>
      </c>
      <c r="J171" s="36">
        <v>87800</v>
      </c>
      <c r="K171" s="36">
        <v>9400</v>
      </c>
      <c r="L171" s="34">
        <v>3.8</v>
      </c>
      <c r="M171" s="36">
        <v>26</v>
      </c>
      <c r="N171" s="36">
        <v>14</v>
      </c>
      <c r="O171" s="36">
        <v>21</v>
      </c>
      <c r="P171" s="34">
        <v>3.8</v>
      </c>
      <c r="Q171" s="34" t="s">
        <v>28</v>
      </c>
      <c r="R171" s="34" t="s">
        <v>28</v>
      </c>
      <c r="S171" s="34" t="s">
        <v>34</v>
      </c>
      <c r="T171" s="35">
        <v>45693</v>
      </c>
      <c r="U171" s="34">
        <v>2.9</v>
      </c>
      <c r="V171" s="34">
        <v>2.8</v>
      </c>
      <c r="W171" s="34" t="s">
        <v>407</v>
      </c>
      <c r="X171" s="34" t="s">
        <v>737</v>
      </c>
    </row>
    <row r="172" spans="1:24" x14ac:dyDescent="0.3">
      <c r="A172" s="34" t="s">
        <v>140</v>
      </c>
      <c r="B172" s="35">
        <v>45257</v>
      </c>
      <c r="C172" s="34" t="s">
        <v>40</v>
      </c>
      <c r="D172" s="34" t="s">
        <v>24</v>
      </c>
      <c r="E172" s="36">
        <v>55</v>
      </c>
      <c r="F172" s="34" t="s">
        <v>50</v>
      </c>
      <c r="G172" s="34" t="s">
        <v>26</v>
      </c>
      <c r="H172" s="34" t="s">
        <v>46</v>
      </c>
      <c r="I172" s="34">
        <v>26.8</v>
      </c>
      <c r="J172" s="36">
        <v>139800</v>
      </c>
      <c r="K172" s="36">
        <v>13000</v>
      </c>
      <c r="L172" s="34">
        <v>3.8</v>
      </c>
      <c r="M172" s="36">
        <v>36</v>
      </c>
      <c r="N172" s="36">
        <v>12</v>
      </c>
      <c r="O172" s="36">
        <v>21</v>
      </c>
      <c r="P172" s="34">
        <v>3.6</v>
      </c>
      <c r="Q172" s="34" t="s">
        <v>28</v>
      </c>
      <c r="R172" s="34" t="s">
        <v>28</v>
      </c>
      <c r="S172" s="34" t="s">
        <v>30</v>
      </c>
      <c r="T172" s="35">
        <v>46129</v>
      </c>
      <c r="U172" s="34">
        <v>2.6</v>
      </c>
      <c r="V172" s="34">
        <v>3.5</v>
      </c>
      <c r="W172" s="34" t="s">
        <v>407</v>
      </c>
      <c r="X172" s="34" t="s">
        <v>738</v>
      </c>
    </row>
    <row r="173" spans="1:24" x14ac:dyDescent="0.3">
      <c r="A173" s="34" t="s">
        <v>142</v>
      </c>
      <c r="B173" s="35">
        <v>45778</v>
      </c>
      <c r="C173" s="34" t="s">
        <v>40</v>
      </c>
      <c r="D173" s="34" t="s">
        <v>41</v>
      </c>
      <c r="E173" s="36">
        <v>52</v>
      </c>
      <c r="F173" s="34" t="s">
        <v>57</v>
      </c>
      <c r="G173" s="34" t="s">
        <v>33</v>
      </c>
      <c r="H173" s="34" t="s">
        <v>55</v>
      </c>
      <c r="I173" s="34">
        <v>25</v>
      </c>
      <c r="J173" s="36">
        <v>138300</v>
      </c>
      <c r="K173" s="36">
        <v>5100</v>
      </c>
      <c r="L173" s="34">
        <v>4</v>
      </c>
      <c r="M173" s="36">
        <v>7</v>
      </c>
      <c r="N173" s="36">
        <v>11</v>
      </c>
      <c r="O173" s="36">
        <v>15</v>
      </c>
      <c r="P173" s="34">
        <v>4.5999999999999996</v>
      </c>
      <c r="Q173" s="34" t="s">
        <v>28</v>
      </c>
      <c r="R173" s="34" t="s">
        <v>29</v>
      </c>
      <c r="S173" s="34" t="s">
        <v>38</v>
      </c>
      <c r="T173" s="35">
        <v>46039</v>
      </c>
      <c r="U173" s="34">
        <v>3.9</v>
      </c>
      <c r="V173" s="34">
        <v>4.5999999999999996</v>
      </c>
      <c r="W173" s="34" t="s">
        <v>407</v>
      </c>
      <c r="X173" s="34" t="s">
        <v>739</v>
      </c>
    </row>
    <row r="174" spans="1:24" x14ac:dyDescent="0.3">
      <c r="A174" s="34" t="s">
        <v>147</v>
      </c>
      <c r="B174" s="35">
        <v>44596</v>
      </c>
      <c r="C174" s="34" t="s">
        <v>40</v>
      </c>
      <c r="D174" s="34" t="s">
        <v>24</v>
      </c>
      <c r="E174" s="36">
        <v>58</v>
      </c>
      <c r="F174" s="34" t="s">
        <v>57</v>
      </c>
      <c r="G174" s="34" t="s">
        <v>33</v>
      </c>
      <c r="H174" s="34" t="s">
        <v>37</v>
      </c>
      <c r="I174" s="34">
        <v>32.200000000000003</v>
      </c>
      <c r="J174" s="36">
        <v>161500</v>
      </c>
      <c r="K174" s="36">
        <v>4500</v>
      </c>
      <c r="L174" s="34">
        <v>3.9</v>
      </c>
      <c r="M174" s="36">
        <v>30</v>
      </c>
      <c r="N174" s="36">
        <v>13</v>
      </c>
      <c r="O174" s="36">
        <v>9</v>
      </c>
      <c r="P174" s="34">
        <v>3.7</v>
      </c>
      <c r="Q174" s="34" t="s">
        <v>28</v>
      </c>
      <c r="R174" s="34" t="s">
        <v>28</v>
      </c>
      <c r="S174" s="34" t="s">
        <v>38</v>
      </c>
      <c r="T174" s="35">
        <v>45737</v>
      </c>
      <c r="U174" s="34">
        <v>3.9</v>
      </c>
      <c r="V174" s="34">
        <v>4.3</v>
      </c>
      <c r="W174" s="34" t="s">
        <v>407</v>
      </c>
      <c r="X174" s="34" t="s">
        <v>740</v>
      </c>
    </row>
    <row r="175" spans="1:24" x14ac:dyDescent="0.3">
      <c r="A175" s="34" t="s">
        <v>148</v>
      </c>
      <c r="B175" s="35">
        <v>44371</v>
      </c>
      <c r="C175" s="34" t="s">
        <v>23</v>
      </c>
      <c r="D175" s="34" t="s">
        <v>41</v>
      </c>
      <c r="E175" s="36">
        <v>39</v>
      </c>
      <c r="F175" s="34" t="s">
        <v>57</v>
      </c>
      <c r="G175" s="34" t="s">
        <v>33</v>
      </c>
      <c r="H175" s="34" t="s">
        <v>55</v>
      </c>
      <c r="I175" s="34">
        <v>13.1</v>
      </c>
      <c r="J175" s="36">
        <v>96100</v>
      </c>
      <c r="K175" s="36">
        <v>9400</v>
      </c>
      <c r="L175" s="34">
        <v>3.3</v>
      </c>
      <c r="M175" s="36">
        <v>27</v>
      </c>
      <c r="N175" s="36">
        <v>9</v>
      </c>
      <c r="O175" s="36">
        <v>30</v>
      </c>
      <c r="P175" s="34">
        <v>4.4000000000000004</v>
      </c>
      <c r="Q175" s="34" t="s">
        <v>28</v>
      </c>
      <c r="R175" s="34" t="s">
        <v>28</v>
      </c>
      <c r="S175" s="34" t="s">
        <v>34</v>
      </c>
      <c r="T175" s="35">
        <v>45392</v>
      </c>
      <c r="U175" s="34">
        <v>3.4</v>
      </c>
      <c r="V175" s="34">
        <v>3.4</v>
      </c>
      <c r="W175" s="34" t="s">
        <v>407</v>
      </c>
      <c r="X175" s="34" t="s">
        <v>741</v>
      </c>
    </row>
    <row r="176" spans="1:24" x14ac:dyDescent="0.3">
      <c r="A176" s="34" t="s">
        <v>149</v>
      </c>
      <c r="B176" s="35">
        <v>44407</v>
      </c>
      <c r="C176" s="34" t="s">
        <v>40</v>
      </c>
      <c r="D176" s="34" t="s">
        <v>24</v>
      </c>
      <c r="E176" s="36">
        <v>38</v>
      </c>
      <c r="F176" s="34" t="s">
        <v>57</v>
      </c>
      <c r="G176" s="34" t="s">
        <v>51</v>
      </c>
      <c r="H176" s="34" t="s">
        <v>55</v>
      </c>
      <c r="I176" s="34">
        <v>18.8</v>
      </c>
      <c r="J176" s="36">
        <v>94100</v>
      </c>
      <c r="K176" s="36">
        <v>4500</v>
      </c>
      <c r="L176" s="34">
        <v>3.9</v>
      </c>
      <c r="M176" s="36">
        <v>10</v>
      </c>
      <c r="N176" s="36">
        <v>15</v>
      </c>
      <c r="O176" s="36">
        <v>1</v>
      </c>
      <c r="P176" s="34">
        <v>4.0999999999999996</v>
      </c>
      <c r="Q176" s="34" t="s">
        <v>28</v>
      </c>
      <c r="R176" s="34" t="s">
        <v>28</v>
      </c>
      <c r="S176" s="34" t="s">
        <v>60</v>
      </c>
      <c r="T176" s="35">
        <v>44592</v>
      </c>
      <c r="U176" s="34">
        <v>3.2</v>
      </c>
      <c r="V176" s="34">
        <v>3.3</v>
      </c>
      <c r="W176" s="34" t="s">
        <v>407</v>
      </c>
      <c r="X176" s="34" t="s">
        <v>742</v>
      </c>
    </row>
    <row r="177" spans="1:24" x14ac:dyDescent="0.3">
      <c r="A177" s="34" t="s">
        <v>152</v>
      </c>
      <c r="B177" s="35">
        <v>44804</v>
      </c>
      <c r="C177" s="34" t="s">
        <v>36</v>
      </c>
      <c r="D177" s="34" t="s">
        <v>24</v>
      </c>
      <c r="E177" s="36">
        <v>55</v>
      </c>
      <c r="F177" s="34" t="s">
        <v>50</v>
      </c>
      <c r="G177" s="34" t="s">
        <v>26</v>
      </c>
      <c r="H177" s="34" t="s">
        <v>27</v>
      </c>
      <c r="I177" s="34">
        <v>31</v>
      </c>
      <c r="J177" s="36">
        <v>146200</v>
      </c>
      <c r="K177" s="36">
        <v>15500</v>
      </c>
      <c r="L177" s="34">
        <v>3.2</v>
      </c>
      <c r="M177" s="36">
        <v>16</v>
      </c>
      <c r="N177" s="36">
        <v>18</v>
      </c>
      <c r="O177" s="36">
        <v>29</v>
      </c>
      <c r="P177" s="34">
        <v>4.9000000000000004</v>
      </c>
      <c r="Q177" s="34" t="s">
        <v>28</v>
      </c>
      <c r="R177" s="34" t="s">
        <v>28</v>
      </c>
      <c r="S177" s="34" t="s">
        <v>34</v>
      </c>
      <c r="T177" s="35">
        <v>46073</v>
      </c>
      <c r="U177" s="34">
        <v>3.1</v>
      </c>
      <c r="V177" s="34">
        <v>3.4</v>
      </c>
      <c r="W177" s="34" t="s">
        <v>407</v>
      </c>
      <c r="X177" s="34" t="s">
        <v>743</v>
      </c>
    </row>
    <row r="178" spans="1:24" x14ac:dyDescent="0.3">
      <c r="A178" s="34" t="s">
        <v>158</v>
      </c>
      <c r="B178" s="35">
        <v>45286</v>
      </c>
      <c r="C178" s="34" t="s">
        <v>32</v>
      </c>
      <c r="D178" s="34" t="s">
        <v>41</v>
      </c>
      <c r="E178" s="36">
        <v>54</v>
      </c>
      <c r="F178" s="34" t="s">
        <v>57</v>
      </c>
      <c r="G178" s="34" t="s">
        <v>42</v>
      </c>
      <c r="H178" s="34" t="s">
        <v>27</v>
      </c>
      <c r="I178" s="34">
        <v>35</v>
      </c>
      <c r="J178" s="36">
        <v>180800</v>
      </c>
      <c r="K178" s="36">
        <v>17800</v>
      </c>
      <c r="L178" s="34">
        <v>4.5999999999999996</v>
      </c>
      <c r="M178" s="36">
        <v>13</v>
      </c>
      <c r="N178" s="36">
        <v>15</v>
      </c>
      <c r="O178" s="36">
        <v>18</v>
      </c>
      <c r="P178" s="34">
        <v>3</v>
      </c>
      <c r="Q178" s="34" t="s">
        <v>28</v>
      </c>
      <c r="R178" s="34" t="s">
        <v>29</v>
      </c>
      <c r="S178" s="34" t="s">
        <v>43</v>
      </c>
      <c r="T178" s="35">
        <v>46040</v>
      </c>
      <c r="U178" s="34">
        <v>4.5999999999999996</v>
      </c>
      <c r="V178" s="34">
        <v>5</v>
      </c>
      <c r="W178" s="34" t="s">
        <v>407</v>
      </c>
      <c r="X178" s="34" t="s">
        <v>744</v>
      </c>
    </row>
    <row r="179" spans="1:24" x14ac:dyDescent="0.3">
      <c r="A179" s="34" t="s">
        <v>161</v>
      </c>
      <c r="B179" s="35">
        <v>45199</v>
      </c>
      <c r="C179" s="34" t="s">
        <v>36</v>
      </c>
      <c r="D179" s="34" t="s">
        <v>41</v>
      </c>
      <c r="E179" s="36">
        <v>43</v>
      </c>
      <c r="F179" s="34" t="s">
        <v>57</v>
      </c>
      <c r="G179" s="34" t="s">
        <v>26</v>
      </c>
      <c r="H179" s="34" t="s">
        <v>55</v>
      </c>
      <c r="I179" s="34">
        <v>15.9</v>
      </c>
      <c r="J179" s="36">
        <v>96100</v>
      </c>
      <c r="K179" s="36">
        <v>11100</v>
      </c>
      <c r="L179" s="34">
        <v>4.4000000000000004</v>
      </c>
      <c r="M179" s="36">
        <v>26</v>
      </c>
      <c r="N179" s="36">
        <v>10</v>
      </c>
      <c r="O179" s="36">
        <v>1</v>
      </c>
      <c r="P179" s="34">
        <v>4.2</v>
      </c>
      <c r="Q179" s="34" t="s">
        <v>28</v>
      </c>
      <c r="R179" s="34" t="s">
        <v>29</v>
      </c>
      <c r="S179" s="34" t="s">
        <v>38</v>
      </c>
      <c r="T179" s="35">
        <v>45974</v>
      </c>
      <c r="U179" s="34">
        <v>3.8</v>
      </c>
      <c r="V179" s="34">
        <v>4.3</v>
      </c>
      <c r="W179" s="34" t="s">
        <v>407</v>
      </c>
      <c r="X179" s="34" t="s">
        <v>745</v>
      </c>
    </row>
    <row r="180" spans="1:24" x14ac:dyDescent="0.3">
      <c r="A180" s="34" t="s">
        <v>175</v>
      </c>
      <c r="B180" s="35">
        <v>44355</v>
      </c>
      <c r="C180" s="34" t="s">
        <v>48</v>
      </c>
      <c r="D180" s="34" t="s">
        <v>41</v>
      </c>
      <c r="E180" s="36">
        <v>57</v>
      </c>
      <c r="F180" s="34" t="s">
        <v>57</v>
      </c>
      <c r="G180" s="34" t="s">
        <v>33</v>
      </c>
      <c r="H180" s="34" t="s">
        <v>37</v>
      </c>
      <c r="I180" s="34">
        <v>30.7</v>
      </c>
      <c r="J180" s="36">
        <v>148000</v>
      </c>
      <c r="K180" s="36">
        <v>8800</v>
      </c>
      <c r="L180" s="34">
        <v>3</v>
      </c>
      <c r="M180" s="36">
        <v>8</v>
      </c>
      <c r="N180" s="36">
        <v>17</v>
      </c>
      <c r="O180" s="36">
        <v>16</v>
      </c>
      <c r="P180" s="34">
        <v>3.6</v>
      </c>
      <c r="Q180" s="34" t="s">
        <v>29</v>
      </c>
      <c r="R180" s="34" t="s">
        <v>28</v>
      </c>
      <c r="S180" s="34" t="s">
        <v>60</v>
      </c>
      <c r="T180" s="35">
        <v>44645</v>
      </c>
      <c r="U180" s="34">
        <v>3.2</v>
      </c>
      <c r="V180" s="34">
        <v>3.3</v>
      </c>
      <c r="W180" s="34" t="s">
        <v>407</v>
      </c>
      <c r="X180" s="34" t="s">
        <v>746</v>
      </c>
    </row>
    <row r="181" spans="1:24" x14ac:dyDescent="0.3">
      <c r="A181" s="34" t="s">
        <v>177</v>
      </c>
      <c r="B181" s="35">
        <v>45021</v>
      </c>
      <c r="C181" s="34" t="s">
        <v>54</v>
      </c>
      <c r="D181" s="34" t="s">
        <v>41</v>
      </c>
      <c r="E181" s="36">
        <v>60</v>
      </c>
      <c r="F181" s="34" t="s">
        <v>57</v>
      </c>
      <c r="G181" s="34" t="s">
        <v>26</v>
      </c>
      <c r="H181" s="34" t="s">
        <v>27</v>
      </c>
      <c r="I181" s="34">
        <v>34.1</v>
      </c>
      <c r="J181" s="36">
        <v>159600</v>
      </c>
      <c r="K181" s="36">
        <v>14500</v>
      </c>
      <c r="L181" s="34">
        <v>4.4000000000000004</v>
      </c>
      <c r="M181" s="36">
        <v>15</v>
      </c>
      <c r="N181" s="36">
        <v>14</v>
      </c>
      <c r="O181" s="36">
        <v>22</v>
      </c>
      <c r="P181" s="34">
        <v>3.5</v>
      </c>
      <c r="Q181" s="34" t="s">
        <v>28</v>
      </c>
      <c r="R181" s="34" t="s">
        <v>29</v>
      </c>
      <c r="S181" s="34" t="s">
        <v>43</v>
      </c>
      <c r="T181" s="35">
        <v>45934</v>
      </c>
      <c r="U181" s="34">
        <v>4.9000000000000004</v>
      </c>
      <c r="V181" s="34">
        <v>5</v>
      </c>
      <c r="W181" s="34" t="s">
        <v>407</v>
      </c>
      <c r="X181" s="34" t="s">
        <v>747</v>
      </c>
    </row>
    <row r="182" spans="1:24" x14ac:dyDescent="0.3">
      <c r="A182" s="34" t="s">
        <v>188</v>
      </c>
      <c r="B182" s="35">
        <v>45081</v>
      </c>
      <c r="C182" s="34" t="s">
        <v>54</v>
      </c>
      <c r="D182" s="34" t="s">
        <v>41</v>
      </c>
      <c r="E182" s="36">
        <v>53</v>
      </c>
      <c r="F182" s="34" t="s">
        <v>50</v>
      </c>
      <c r="G182" s="34" t="s">
        <v>51</v>
      </c>
      <c r="H182" s="34" t="s">
        <v>55</v>
      </c>
      <c r="I182" s="34">
        <v>31.3</v>
      </c>
      <c r="J182" s="36">
        <v>133500</v>
      </c>
      <c r="K182" s="36">
        <v>3000</v>
      </c>
      <c r="L182" s="34">
        <v>3.7</v>
      </c>
      <c r="M182" s="36">
        <v>23</v>
      </c>
      <c r="N182" s="36">
        <v>16</v>
      </c>
      <c r="O182" s="36">
        <v>29</v>
      </c>
      <c r="P182" s="34">
        <v>2.7</v>
      </c>
      <c r="Q182" s="34" t="s">
        <v>29</v>
      </c>
      <c r="R182" s="34" t="s">
        <v>28</v>
      </c>
      <c r="S182" s="34" t="s">
        <v>43</v>
      </c>
      <c r="T182" s="35">
        <v>45728</v>
      </c>
      <c r="U182" s="34">
        <v>3.7</v>
      </c>
      <c r="V182" s="34">
        <v>3.9</v>
      </c>
      <c r="W182" s="34" t="s">
        <v>407</v>
      </c>
      <c r="X182" s="34" t="s">
        <v>748</v>
      </c>
    </row>
    <row r="183" spans="1:24" x14ac:dyDescent="0.3">
      <c r="A183" s="34" t="s">
        <v>189</v>
      </c>
      <c r="B183" s="35">
        <v>44408</v>
      </c>
      <c r="C183" s="34" t="s">
        <v>36</v>
      </c>
      <c r="D183" s="34" t="s">
        <v>41</v>
      </c>
      <c r="E183" s="36">
        <v>57</v>
      </c>
      <c r="F183" s="34" t="s">
        <v>50</v>
      </c>
      <c r="G183" s="34" t="s">
        <v>51</v>
      </c>
      <c r="H183" s="34" t="s">
        <v>52</v>
      </c>
      <c r="I183" s="34">
        <v>32.299999999999997</v>
      </c>
      <c r="J183" s="36">
        <v>150000</v>
      </c>
      <c r="K183" s="36">
        <v>6800</v>
      </c>
      <c r="L183" s="34">
        <v>4.4000000000000004</v>
      </c>
      <c r="M183" s="36">
        <v>19</v>
      </c>
      <c r="N183" s="36">
        <v>13</v>
      </c>
      <c r="O183" s="36">
        <v>26</v>
      </c>
      <c r="P183" s="34">
        <v>4.5</v>
      </c>
      <c r="Q183" s="34" t="s">
        <v>28</v>
      </c>
      <c r="R183" s="34" t="s">
        <v>29</v>
      </c>
      <c r="S183" s="34" t="s">
        <v>30</v>
      </c>
      <c r="T183" s="35">
        <v>45270</v>
      </c>
      <c r="U183" s="34">
        <v>4.2</v>
      </c>
      <c r="V183" s="34">
        <v>4.3</v>
      </c>
      <c r="W183" s="34" t="s">
        <v>407</v>
      </c>
      <c r="X183" s="34" t="s">
        <v>749</v>
      </c>
    </row>
    <row r="184" spans="1:24" x14ac:dyDescent="0.3">
      <c r="A184" s="34" t="s">
        <v>193</v>
      </c>
      <c r="B184" s="35">
        <v>44232</v>
      </c>
      <c r="C184" s="34" t="s">
        <v>32</v>
      </c>
      <c r="D184" s="34" t="s">
        <v>24</v>
      </c>
      <c r="E184" s="36">
        <v>47</v>
      </c>
      <c r="F184" s="34" t="s">
        <v>50</v>
      </c>
      <c r="G184" s="34" t="s">
        <v>33</v>
      </c>
      <c r="H184" s="34" t="s">
        <v>46</v>
      </c>
      <c r="I184" s="34">
        <v>24.8</v>
      </c>
      <c r="J184" s="36">
        <v>142800</v>
      </c>
      <c r="K184" s="36">
        <v>7100</v>
      </c>
      <c r="L184" s="34">
        <v>3</v>
      </c>
      <c r="M184" s="36">
        <v>27</v>
      </c>
      <c r="N184" s="36">
        <v>15</v>
      </c>
      <c r="O184" s="36">
        <v>22</v>
      </c>
      <c r="P184" s="34">
        <v>4.5999999999999996</v>
      </c>
      <c r="Q184" s="34" t="s">
        <v>28</v>
      </c>
      <c r="R184" s="34" t="s">
        <v>28</v>
      </c>
      <c r="S184" s="34" t="s">
        <v>38</v>
      </c>
      <c r="T184" s="35">
        <v>45064</v>
      </c>
      <c r="U184" s="34">
        <v>2.5</v>
      </c>
      <c r="V184" s="34">
        <v>3.3</v>
      </c>
      <c r="W184" s="34" t="s">
        <v>407</v>
      </c>
      <c r="X184" s="34" t="s">
        <v>750</v>
      </c>
    </row>
    <row r="185" spans="1:24" x14ac:dyDescent="0.3">
      <c r="A185" s="34" t="s">
        <v>199</v>
      </c>
      <c r="B185" s="35">
        <v>44553</v>
      </c>
      <c r="C185" s="34" t="s">
        <v>23</v>
      </c>
      <c r="D185" s="34" t="s">
        <v>24</v>
      </c>
      <c r="E185" s="36">
        <v>42</v>
      </c>
      <c r="F185" s="34" t="s">
        <v>57</v>
      </c>
      <c r="G185" s="34" t="s">
        <v>33</v>
      </c>
      <c r="H185" s="34" t="s">
        <v>55</v>
      </c>
      <c r="I185" s="34">
        <v>21</v>
      </c>
      <c r="J185" s="36">
        <v>121200</v>
      </c>
      <c r="K185" s="36">
        <v>4600</v>
      </c>
      <c r="L185" s="34">
        <v>3.9</v>
      </c>
      <c r="M185" s="36">
        <v>19</v>
      </c>
      <c r="N185" s="36">
        <v>9</v>
      </c>
      <c r="O185" s="36">
        <v>19</v>
      </c>
      <c r="P185" s="34">
        <v>4</v>
      </c>
      <c r="Q185" s="34" t="s">
        <v>28</v>
      </c>
      <c r="R185" s="34" t="s">
        <v>28</v>
      </c>
      <c r="S185" s="34" t="s">
        <v>43</v>
      </c>
      <c r="T185" s="35">
        <v>45816</v>
      </c>
      <c r="U185" s="34">
        <v>3.3</v>
      </c>
      <c r="V185" s="34">
        <v>4.0999999999999996</v>
      </c>
      <c r="W185" s="34" t="s">
        <v>407</v>
      </c>
      <c r="X185" s="34" t="s">
        <v>751</v>
      </c>
    </row>
    <row r="186" spans="1:24" x14ac:dyDescent="0.3">
      <c r="A186" s="34" t="s">
        <v>200</v>
      </c>
      <c r="B186" s="35">
        <v>44376</v>
      </c>
      <c r="C186" s="34" t="s">
        <v>23</v>
      </c>
      <c r="D186" s="34" t="s">
        <v>24</v>
      </c>
      <c r="E186" s="36">
        <v>45</v>
      </c>
      <c r="F186" s="34" t="s">
        <v>50</v>
      </c>
      <c r="G186" s="34" t="s">
        <v>26</v>
      </c>
      <c r="H186" s="34" t="s">
        <v>52</v>
      </c>
      <c r="I186" s="34">
        <v>23.7</v>
      </c>
      <c r="J186" s="36">
        <v>115900</v>
      </c>
      <c r="K186" s="36">
        <v>7000</v>
      </c>
      <c r="L186" s="34">
        <v>2.9</v>
      </c>
      <c r="M186" s="36">
        <v>19</v>
      </c>
      <c r="N186" s="36">
        <v>15</v>
      </c>
      <c r="O186" s="36">
        <v>19</v>
      </c>
      <c r="P186" s="34">
        <v>4.3</v>
      </c>
      <c r="Q186" s="34" t="s">
        <v>28</v>
      </c>
      <c r="R186" s="34" t="s">
        <v>28</v>
      </c>
      <c r="S186" s="34" t="s">
        <v>34</v>
      </c>
      <c r="T186" s="35">
        <v>45713</v>
      </c>
      <c r="U186" s="34">
        <v>2.2999999999999998</v>
      </c>
      <c r="V186" s="34">
        <v>2.6</v>
      </c>
      <c r="W186" s="34" t="s">
        <v>407</v>
      </c>
      <c r="X186" s="34" t="s">
        <v>752</v>
      </c>
    </row>
    <row r="187" spans="1:24" x14ac:dyDescent="0.3">
      <c r="A187" s="34" t="s">
        <v>204</v>
      </c>
      <c r="B187" s="35">
        <v>45159</v>
      </c>
      <c r="C187" s="34" t="s">
        <v>48</v>
      </c>
      <c r="D187" s="34" t="s">
        <v>24</v>
      </c>
      <c r="E187" s="36">
        <v>48</v>
      </c>
      <c r="F187" s="34" t="s">
        <v>57</v>
      </c>
      <c r="G187" s="34" t="s">
        <v>26</v>
      </c>
      <c r="H187" s="34" t="s">
        <v>37</v>
      </c>
      <c r="I187" s="34">
        <v>22.5</v>
      </c>
      <c r="J187" s="36">
        <v>111900</v>
      </c>
      <c r="K187" s="36">
        <v>4700</v>
      </c>
      <c r="L187" s="34">
        <v>4</v>
      </c>
      <c r="M187" s="36">
        <v>35</v>
      </c>
      <c r="N187" s="36">
        <v>10</v>
      </c>
      <c r="O187" s="36">
        <v>1</v>
      </c>
      <c r="P187" s="34">
        <v>3.4</v>
      </c>
      <c r="Q187" s="34" t="s">
        <v>28</v>
      </c>
      <c r="R187" s="34" t="s">
        <v>29</v>
      </c>
      <c r="S187" s="34" t="s">
        <v>38</v>
      </c>
      <c r="T187" s="35">
        <v>45353</v>
      </c>
      <c r="U187" s="34">
        <v>3.2</v>
      </c>
      <c r="V187" s="34">
        <v>3.6</v>
      </c>
      <c r="W187" s="34" t="s">
        <v>407</v>
      </c>
      <c r="X187" s="34" t="s">
        <v>753</v>
      </c>
    </row>
    <row r="188" spans="1:24" x14ac:dyDescent="0.3">
      <c r="A188" s="34" t="s">
        <v>210</v>
      </c>
      <c r="B188" s="35">
        <v>45245</v>
      </c>
      <c r="C188" s="34" t="s">
        <v>48</v>
      </c>
      <c r="D188" s="34" t="s">
        <v>24</v>
      </c>
      <c r="E188" s="36">
        <v>42</v>
      </c>
      <c r="F188" s="34" t="s">
        <v>57</v>
      </c>
      <c r="G188" s="34" t="s">
        <v>33</v>
      </c>
      <c r="H188" s="34" t="s">
        <v>27</v>
      </c>
      <c r="I188" s="34">
        <v>19.399999999999999</v>
      </c>
      <c r="J188" s="36">
        <v>117000</v>
      </c>
      <c r="K188" s="36">
        <v>3200</v>
      </c>
      <c r="L188" s="34">
        <v>4.5</v>
      </c>
      <c r="M188" s="36">
        <v>12</v>
      </c>
      <c r="N188" s="36">
        <v>5</v>
      </c>
      <c r="O188" s="36">
        <v>9</v>
      </c>
      <c r="P188" s="34">
        <v>5</v>
      </c>
      <c r="Q188" s="34" t="s">
        <v>28</v>
      </c>
      <c r="R188" s="34" t="s">
        <v>29</v>
      </c>
      <c r="S188" s="34" t="s">
        <v>43</v>
      </c>
      <c r="T188" s="35">
        <v>46032</v>
      </c>
      <c r="U188" s="34">
        <v>3.4</v>
      </c>
      <c r="V188" s="34">
        <v>3.9</v>
      </c>
      <c r="W188" s="34" t="s">
        <v>407</v>
      </c>
      <c r="X188" s="34" t="s">
        <v>754</v>
      </c>
    </row>
    <row r="189" spans="1:24" x14ac:dyDescent="0.3">
      <c r="A189" s="34" t="s">
        <v>211</v>
      </c>
      <c r="B189" s="35">
        <v>44988</v>
      </c>
      <c r="C189" s="34" t="s">
        <v>32</v>
      </c>
      <c r="D189" s="34" t="s">
        <v>41</v>
      </c>
      <c r="E189" s="36">
        <v>38</v>
      </c>
      <c r="F189" s="34" t="s">
        <v>50</v>
      </c>
      <c r="G189" s="34" t="s">
        <v>33</v>
      </c>
      <c r="H189" s="34" t="s">
        <v>37</v>
      </c>
      <c r="I189" s="34">
        <v>13.2</v>
      </c>
      <c r="J189" s="36">
        <v>97400</v>
      </c>
      <c r="K189" s="36">
        <v>11200</v>
      </c>
      <c r="L189" s="34">
        <v>2.8</v>
      </c>
      <c r="M189" s="36">
        <v>31</v>
      </c>
      <c r="N189" s="36">
        <v>16</v>
      </c>
      <c r="O189" s="36">
        <v>11</v>
      </c>
      <c r="P189" s="34">
        <v>4.2</v>
      </c>
      <c r="Q189" s="34" t="s">
        <v>28</v>
      </c>
      <c r="R189" s="34" t="s">
        <v>28</v>
      </c>
      <c r="S189" s="34" t="s">
        <v>38</v>
      </c>
      <c r="T189" s="35">
        <v>45590</v>
      </c>
      <c r="U189" s="34">
        <v>3.8</v>
      </c>
      <c r="V189" s="34">
        <v>3.9</v>
      </c>
      <c r="W189" s="34" t="s">
        <v>407</v>
      </c>
      <c r="X189" s="34" t="s">
        <v>755</v>
      </c>
    </row>
    <row r="190" spans="1:24" x14ac:dyDescent="0.3">
      <c r="A190" s="34" t="s">
        <v>220</v>
      </c>
      <c r="B190" s="35">
        <v>45065</v>
      </c>
      <c r="C190" s="34" t="s">
        <v>48</v>
      </c>
      <c r="D190" s="34" t="s">
        <v>24</v>
      </c>
      <c r="E190" s="36">
        <v>39</v>
      </c>
      <c r="F190" s="34" t="s">
        <v>57</v>
      </c>
      <c r="G190" s="34" t="s">
        <v>51</v>
      </c>
      <c r="H190" s="34" t="s">
        <v>55</v>
      </c>
      <c r="I190" s="34">
        <v>18.899999999999999</v>
      </c>
      <c r="J190" s="36">
        <v>91900</v>
      </c>
      <c r="K190" s="36">
        <v>8500</v>
      </c>
      <c r="L190" s="34">
        <v>3.9</v>
      </c>
      <c r="M190" s="36">
        <v>34</v>
      </c>
      <c r="N190" s="36">
        <v>15</v>
      </c>
      <c r="O190" s="36">
        <v>20</v>
      </c>
      <c r="P190" s="34">
        <v>3.7</v>
      </c>
      <c r="Q190" s="34" t="s">
        <v>28</v>
      </c>
      <c r="R190" s="34" t="s">
        <v>28</v>
      </c>
      <c r="S190" s="34" t="s">
        <v>43</v>
      </c>
      <c r="T190" s="35">
        <v>45580</v>
      </c>
      <c r="U190" s="34">
        <v>2.9</v>
      </c>
      <c r="V190" s="34">
        <v>2.9</v>
      </c>
      <c r="W190" s="34" t="s">
        <v>407</v>
      </c>
      <c r="X190" s="34" t="s">
        <v>756</v>
      </c>
    </row>
    <row r="191" spans="1:24" x14ac:dyDescent="0.3">
      <c r="A191" s="34" t="s">
        <v>222</v>
      </c>
      <c r="B191" s="35">
        <v>45138</v>
      </c>
      <c r="C191" s="34" t="s">
        <v>48</v>
      </c>
      <c r="D191" s="34" t="s">
        <v>41</v>
      </c>
      <c r="E191" s="36">
        <v>28</v>
      </c>
      <c r="F191" s="34" t="s">
        <v>57</v>
      </c>
      <c r="G191" s="34" t="s">
        <v>26</v>
      </c>
      <c r="H191" s="34" t="s">
        <v>27</v>
      </c>
      <c r="I191" s="34">
        <v>7.3</v>
      </c>
      <c r="J191" s="36">
        <v>53100</v>
      </c>
      <c r="K191" s="36">
        <v>4700</v>
      </c>
      <c r="L191" s="34">
        <v>3.9</v>
      </c>
      <c r="M191" s="36">
        <v>15</v>
      </c>
      <c r="N191" s="36">
        <v>14</v>
      </c>
      <c r="O191" s="36">
        <v>16</v>
      </c>
      <c r="P191" s="34">
        <v>3.9</v>
      </c>
      <c r="Q191" s="34" t="s">
        <v>28</v>
      </c>
      <c r="R191" s="34" t="s">
        <v>28</v>
      </c>
      <c r="S191" s="34" t="s">
        <v>43</v>
      </c>
      <c r="T191" s="35">
        <v>45621</v>
      </c>
      <c r="U191" s="34">
        <v>3.5</v>
      </c>
      <c r="V191" s="34">
        <v>3.7</v>
      </c>
      <c r="W191" s="34" t="s">
        <v>407</v>
      </c>
      <c r="X191" s="34" t="s">
        <v>757</v>
      </c>
    </row>
    <row r="192" spans="1:24" x14ac:dyDescent="0.3">
      <c r="A192" s="34" t="s">
        <v>225</v>
      </c>
      <c r="B192" s="35">
        <v>45044</v>
      </c>
      <c r="C192" s="34" t="s">
        <v>23</v>
      </c>
      <c r="D192" s="34" t="s">
        <v>24</v>
      </c>
      <c r="E192" s="36">
        <v>58</v>
      </c>
      <c r="F192" s="34" t="s">
        <v>50</v>
      </c>
      <c r="G192" s="34" t="s">
        <v>26</v>
      </c>
      <c r="H192" s="34" t="s">
        <v>27</v>
      </c>
      <c r="I192" s="34">
        <v>29.3</v>
      </c>
      <c r="J192" s="36">
        <v>147800</v>
      </c>
      <c r="K192" s="36">
        <v>10000</v>
      </c>
      <c r="L192" s="34">
        <v>3.7</v>
      </c>
      <c r="M192" s="36">
        <v>30</v>
      </c>
      <c r="N192" s="36">
        <v>11</v>
      </c>
      <c r="O192" s="36">
        <v>29</v>
      </c>
      <c r="P192" s="34">
        <v>3.8</v>
      </c>
      <c r="Q192" s="34" t="s">
        <v>28</v>
      </c>
      <c r="R192" s="34" t="s">
        <v>28</v>
      </c>
      <c r="S192" s="34" t="s">
        <v>34</v>
      </c>
      <c r="T192" s="35">
        <v>45921</v>
      </c>
      <c r="U192" s="34">
        <v>3.4</v>
      </c>
      <c r="V192" s="34">
        <v>3.5</v>
      </c>
      <c r="W192" s="34" t="s">
        <v>407</v>
      </c>
      <c r="X192" s="34" t="s">
        <v>758</v>
      </c>
    </row>
    <row r="193" spans="1:24" x14ac:dyDescent="0.3">
      <c r="A193" s="34" t="s">
        <v>228</v>
      </c>
      <c r="B193" s="35">
        <v>45124</v>
      </c>
      <c r="C193" s="34" t="s">
        <v>40</v>
      </c>
      <c r="D193" s="34" t="s">
        <v>41</v>
      </c>
      <c r="E193" s="36">
        <v>42</v>
      </c>
      <c r="F193" s="34" t="s">
        <v>50</v>
      </c>
      <c r="G193" s="34" t="s">
        <v>26</v>
      </c>
      <c r="H193" s="34" t="s">
        <v>27</v>
      </c>
      <c r="I193" s="34">
        <v>18.899999999999999</v>
      </c>
      <c r="J193" s="36">
        <v>93900</v>
      </c>
      <c r="K193" s="36">
        <v>3200</v>
      </c>
      <c r="L193" s="34">
        <v>3.4</v>
      </c>
      <c r="M193" s="36">
        <v>10</v>
      </c>
      <c r="N193" s="36">
        <v>13</v>
      </c>
      <c r="O193" s="36">
        <v>2</v>
      </c>
      <c r="P193" s="34">
        <v>3.4</v>
      </c>
      <c r="Q193" s="34" t="s">
        <v>28</v>
      </c>
      <c r="R193" s="34" t="s">
        <v>28</v>
      </c>
      <c r="S193" s="34" t="s">
        <v>34</v>
      </c>
      <c r="T193" s="35">
        <v>46028</v>
      </c>
      <c r="U193" s="34">
        <v>5</v>
      </c>
      <c r="V193" s="34">
        <v>5</v>
      </c>
      <c r="W193" s="34" t="s">
        <v>407</v>
      </c>
      <c r="X193" s="34" t="s">
        <v>759</v>
      </c>
    </row>
    <row r="194" spans="1:24" x14ac:dyDescent="0.3">
      <c r="A194" s="34" t="s">
        <v>238</v>
      </c>
      <c r="B194" s="35">
        <v>45590</v>
      </c>
      <c r="C194" s="34" t="s">
        <v>54</v>
      </c>
      <c r="D194" s="34" t="s">
        <v>41</v>
      </c>
      <c r="E194" s="36">
        <v>33</v>
      </c>
      <c r="F194" s="34" t="s">
        <v>50</v>
      </c>
      <c r="G194" s="34" t="s">
        <v>26</v>
      </c>
      <c r="H194" s="34" t="s">
        <v>46</v>
      </c>
      <c r="I194" s="34">
        <v>11.8</v>
      </c>
      <c r="J194" s="36">
        <v>78300</v>
      </c>
      <c r="K194" s="36">
        <v>7600</v>
      </c>
      <c r="L194" s="34">
        <v>3</v>
      </c>
      <c r="M194" s="36">
        <v>6</v>
      </c>
      <c r="N194" s="36">
        <v>7</v>
      </c>
      <c r="O194" s="36">
        <v>29</v>
      </c>
      <c r="P194" s="34">
        <v>2.9</v>
      </c>
      <c r="Q194" s="34" t="s">
        <v>28</v>
      </c>
      <c r="R194" s="34" t="s">
        <v>28</v>
      </c>
      <c r="S194" s="34" t="s">
        <v>38</v>
      </c>
      <c r="T194" s="35">
        <v>45942</v>
      </c>
      <c r="U194" s="34">
        <v>4.4000000000000004</v>
      </c>
      <c r="V194" s="34">
        <v>4.7</v>
      </c>
      <c r="W194" s="34" t="s">
        <v>407</v>
      </c>
      <c r="X194" s="34" t="s">
        <v>760</v>
      </c>
    </row>
    <row r="195" spans="1:24" x14ac:dyDescent="0.3">
      <c r="A195" s="34" t="s">
        <v>240</v>
      </c>
      <c r="B195" s="35">
        <v>45471</v>
      </c>
      <c r="C195" s="34" t="s">
        <v>32</v>
      </c>
      <c r="D195" s="34" t="s">
        <v>41</v>
      </c>
      <c r="E195" s="36">
        <v>54</v>
      </c>
      <c r="F195" s="34" t="s">
        <v>57</v>
      </c>
      <c r="G195" s="34" t="s">
        <v>51</v>
      </c>
      <c r="H195" s="34" t="s">
        <v>27</v>
      </c>
      <c r="I195" s="34">
        <v>27.5</v>
      </c>
      <c r="J195" s="36">
        <v>128900</v>
      </c>
      <c r="K195" s="36">
        <v>3900</v>
      </c>
      <c r="L195" s="34">
        <v>4.2</v>
      </c>
      <c r="M195" s="36">
        <v>14</v>
      </c>
      <c r="N195" s="36">
        <v>13</v>
      </c>
      <c r="O195" s="36">
        <v>16</v>
      </c>
      <c r="P195" s="34">
        <v>2.7</v>
      </c>
      <c r="Q195" s="34" t="s">
        <v>29</v>
      </c>
      <c r="R195" s="34" t="s">
        <v>29</v>
      </c>
      <c r="S195" s="34" t="s">
        <v>60</v>
      </c>
      <c r="T195" s="35">
        <v>45800</v>
      </c>
      <c r="U195" s="34">
        <v>3.3</v>
      </c>
      <c r="V195" s="34">
        <v>3.7</v>
      </c>
      <c r="W195" s="34" t="s">
        <v>407</v>
      </c>
      <c r="X195" s="34" t="s">
        <v>761</v>
      </c>
    </row>
    <row r="196" spans="1:24" x14ac:dyDescent="0.3">
      <c r="A196" s="34" t="s">
        <v>242</v>
      </c>
      <c r="B196" s="35">
        <v>44377</v>
      </c>
      <c r="C196" s="34" t="s">
        <v>23</v>
      </c>
      <c r="D196" s="34" t="s">
        <v>41</v>
      </c>
      <c r="E196" s="36">
        <v>46</v>
      </c>
      <c r="F196" s="34" t="s">
        <v>57</v>
      </c>
      <c r="G196" s="34" t="s">
        <v>33</v>
      </c>
      <c r="H196" s="34" t="s">
        <v>55</v>
      </c>
      <c r="I196" s="34">
        <v>20.9</v>
      </c>
      <c r="J196" s="36">
        <v>117000</v>
      </c>
      <c r="K196" s="36">
        <v>12700</v>
      </c>
      <c r="L196" s="34">
        <v>3</v>
      </c>
      <c r="M196" s="36">
        <v>17</v>
      </c>
      <c r="N196" s="36">
        <v>13</v>
      </c>
      <c r="O196" s="36">
        <v>25</v>
      </c>
      <c r="P196" s="34">
        <v>3.5</v>
      </c>
      <c r="Q196" s="34" t="s">
        <v>28</v>
      </c>
      <c r="R196" s="34" t="s">
        <v>28</v>
      </c>
      <c r="S196" s="34" t="s">
        <v>43</v>
      </c>
      <c r="T196" s="35">
        <v>45850</v>
      </c>
      <c r="U196" s="34">
        <v>2.9</v>
      </c>
      <c r="V196" s="34">
        <v>3.3</v>
      </c>
      <c r="W196" s="34" t="s">
        <v>407</v>
      </c>
      <c r="X196" s="34" t="s">
        <v>762</v>
      </c>
    </row>
    <row r="197" spans="1:24" x14ac:dyDescent="0.3">
      <c r="A197" s="34" t="s">
        <v>245</v>
      </c>
      <c r="B197" s="35">
        <v>45708</v>
      </c>
      <c r="C197" s="34" t="s">
        <v>48</v>
      </c>
      <c r="D197" s="34" t="s">
        <v>24</v>
      </c>
      <c r="E197" s="36">
        <v>35</v>
      </c>
      <c r="F197" s="34" t="s">
        <v>57</v>
      </c>
      <c r="G197" s="34" t="s">
        <v>26</v>
      </c>
      <c r="H197" s="34" t="s">
        <v>63</v>
      </c>
      <c r="I197" s="34">
        <v>12</v>
      </c>
      <c r="J197" s="36">
        <v>77900</v>
      </c>
      <c r="K197" s="36">
        <v>6800</v>
      </c>
      <c r="L197" s="34">
        <v>4.4000000000000004</v>
      </c>
      <c r="M197" s="36">
        <v>21</v>
      </c>
      <c r="N197" s="36">
        <v>7</v>
      </c>
      <c r="O197" s="36">
        <v>1</v>
      </c>
      <c r="P197" s="34">
        <v>2.7</v>
      </c>
      <c r="Q197" s="34" t="s">
        <v>28</v>
      </c>
      <c r="R197" s="34" t="s">
        <v>29</v>
      </c>
      <c r="S197" s="34" t="s">
        <v>43</v>
      </c>
      <c r="T197" s="35">
        <v>46138</v>
      </c>
      <c r="U197" s="34">
        <v>3.8</v>
      </c>
      <c r="V197" s="34">
        <v>4</v>
      </c>
      <c r="W197" s="34" t="s">
        <v>407</v>
      </c>
      <c r="X197" s="34" t="s">
        <v>763</v>
      </c>
    </row>
    <row r="198" spans="1:24" x14ac:dyDescent="0.3">
      <c r="A198" s="34" t="s">
        <v>253</v>
      </c>
      <c r="B198" s="35">
        <v>45402</v>
      </c>
      <c r="C198" s="34" t="s">
        <v>54</v>
      </c>
      <c r="D198" s="34" t="s">
        <v>41</v>
      </c>
      <c r="E198" s="36">
        <v>50</v>
      </c>
      <c r="F198" s="34" t="s">
        <v>57</v>
      </c>
      <c r="G198" s="34" t="s">
        <v>26</v>
      </c>
      <c r="H198" s="34" t="s">
        <v>63</v>
      </c>
      <c r="I198" s="34">
        <v>26.6</v>
      </c>
      <c r="J198" s="36">
        <v>138000</v>
      </c>
      <c r="K198" s="36">
        <v>9100</v>
      </c>
      <c r="L198" s="34">
        <v>3.8</v>
      </c>
      <c r="M198" s="36">
        <v>9</v>
      </c>
      <c r="N198" s="36">
        <v>13</v>
      </c>
      <c r="O198" s="36">
        <v>13</v>
      </c>
      <c r="P198" s="34">
        <v>3.9</v>
      </c>
      <c r="Q198" s="34" t="s">
        <v>28</v>
      </c>
      <c r="R198" s="34" t="s">
        <v>28</v>
      </c>
      <c r="S198" s="34" t="s">
        <v>30</v>
      </c>
      <c r="T198" s="35">
        <v>46086</v>
      </c>
      <c r="U198" s="34">
        <v>2.1</v>
      </c>
      <c r="V198" s="34">
        <v>3</v>
      </c>
      <c r="W198" s="34" t="s">
        <v>407</v>
      </c>
      <c r="X198" s="34" t="s">
        <v>764</v>
      </c>
    </row>
    <row r="199" spans="1:24" x14ac:dyDescent="0.3">
      <c r="A199" s="34" t="s">
        <v>255</v>
      </c>
      <c r="B199" s="35">
        <v>45253</v>
      </c>
      <c r="C199" s="34" t="s">
        <v>36</v>
      </c>
      <c r="D199" s="34" t="s">
        <v>41</v>
      </c>
      <c r="E199" s="36">
        <v>54</v>
      </c>
      <c r="F199" s="34" t="s">
        <v>50</v>
      </c>
      <c r="G199" s="34" t="s">
        <v>51</v>
      </c>
      <c r="H199" s="34" t="s">
        <v>52</v>
      </c>
      <c r="I199" s="34">
        <v>30.8</v>
      </c>
      <c r="J199" s="36">
        <v>131300</v>
      </c>
      <c r="K199" s="36">
        <v>11500</v>
      </c>
      <c r="L199" s="34">
        <v>3.9</v>
      </c>
      <c r="M199" s="36">
        <v>10</v>
      </c>
      <c r="N199" s="36">
        <v>10</v>
      </c>
      <c r="O199" s="36">
        <v>8</v>
      </c>
      <c r="P199" s="34">
        <v>4.4000000000000004</v>
      </c>
      <c r="Q199" s="34" t="s">
        <v>28</v>
      </c>
      <c r="R199" s="34" t="s">
        <v>28</v>
      </c>
      <c r="S199" s="34" t="s">
        <v>60</v>
      </c>
      <c r="T199" s="35">
        <v>45746</v>
      </c>
      <c r="U199" s="34">
        <v>3.3</v>
      </c>
      <c r="V199" s="34">
        <v>4.0999999999999996</v>
      </c>
      <c r="W199" s="34" t="s">
        <v>407</v>
      </c>
      <c r="X199" s="34" t="s">
        <v>765</v>
      </c>
    </row>
    <row r="200" spans="1:24" x14ac:dyDescent="0.3">
      <c r="A200" s="34" t="s">
        <v>256</v>
      </c>
      <c r="B200" s="35">
        <v>45164</v>
      </c>
      <c r="C200" s="34" t="s">
        <v>48</v>
      </c>
      <c r="D200" s="34" t="s">
        <v>41</v>
      </c>
      <c r="E200" s="36">
        <v>59</v>
      </c>
      <c r="F200" s="34" t="s">
        <v>57</v>
      </c>
      <c r="G200" s="34" t="s">
        <v>51</v>
      </c>
      <c r="H200" s="34" t="s">
        <v>37</v>
      </c>
      <c r="I200" s="34">
        <v>35</v>
      </c>
      <c r="J200" s="36">
        <v>160600</v>
      </c>
      <c r="K200" s="36">
        <v>8300</v>
      </c>
      <c r="L200" s="34">
        <v>4.4000000000000004</v>
      </c>
      <c r="M200" s="36">
        <v>40</v>
      </c>
      <c r="N200" s="36">
        <v>12</v>
      </c>
      <c r="O200" s="36">
        <v>3</v>
      </c>
      <c r="P200" s="34">
        <v>4.7</v>
      </c>
      <c r="Q200" s="34" t="s">
        <v>28</v>
      </c>
      <c r="R200" s="34" t="s">
        <v>29</v>
      </c>
      <c r="S200" s="34" t="s">
        <v>60</v>
      </c>
      <c r="T200" s="35">
        <v>46155</v>
      </c>
      <c r="U200" s="34">
        <v>3.4</v>
      </c>
      <c r="V200" s="34">
        <v>3.8</v>
      </c>
      <c r="W200" s="34" t="s">
        <v>407</v>
      </c>
      <c r="X200" s="34" t="s">
        <v>766</v>
      </c>
    </row>
    <row r="201" spans="1:24" x14ac:dyDescent="0.3">
      <c r="A201" s="34" t="s">
        <v>261</v>
      </c>
      <c r="B201" s="35">
        <v>44287</v>
      </c>
      <c r="C201" s="34" t="s">
        <v>36</v>
      </c>
      <c r="D201" s="34" t="s">
        <v>41</v>
      </c>
      <c r="E201" s="36">
        <v>48</v>
      </c>
      <c r="F201" s="34" t="s">
        <v>57</v>
      </c>
      <c r="G201" s="34" t="s">
        <v>51</v>
      </c>
      <c r="H201" s="34" t="s">
        <v>37</v>
      </c>
      <c r="I201" s="34">
        <v>23.7</v>
      </c>
      <c r="J201" s="36">
        <v>114000</v>
      </c>
      <c r="K201" s="36">
        <v>2300</v>
      </c>
      <c r="L201" s="34">
        <v>2.5</v>
      </c>
      <c r="M201" s="36">
        <v>18</v>
      </c>
      <c r="N201" s="36">
        <v>8</v>
      </c>
      <c r="O201" s="36">
        <v>27</v>
      </c>
      <c r="P201" s="34">
        <v>3.4</v>
      </c>
      <c r="Q201" s="34" t="s">
        <v>28</v>
      </c>
      <c r="R201" s="34" t="s">
        <v>28</v>
      </c>
      <c r="S201" s="34" t="s">
        <v>38</v>
      </c>
      <c r="T201" s="35">
        <v>44945</v>
      </c>
      <c r="U201" s="34">
        <v>3.1</v>
      </c>
      <c r="V201" s="34">
        <v>3.2</v>
      </c>
      <c r="W201" s="34" t="s">
        <v>407</v>
      </c>
      <c r="X201" s="34" t="s">
        <v>767</v>
      </c>
    </row>
    <row r="202" spans="1:24" x14ac:dyDescent="0.3">
      <c r="A202" s="34" t="s">
        <v>267</v>
      </c>
      <c r="B202" s="35">
        <v>44296</v>
      </c>
      <c r="C202" s="34" t="s">
        <v>32</v>
      </c>
      <c r="D202" s="34" t="s">
        <v>24</v>
      </c>
      <c r="E202" s="36">
        <v>57</v>
      </c>
      <c r="F202" s="34" t="s">
        <v>57</v>
      </c>
      <c r="G202" s="34" t="s">
        <v>42</v>
      </c>
      <c r="H202" s="34" t="s">
        <v>63</v>
      </c>
      <c r="I202" s="34">
        <v>32.700000000000003</v>
      </c>
      <c r="J202" s="36">
        <v>173900</v>
      </c>
      <c r="K202" s="36">
        <v>20800</v>
      </c>
      <c r="L202" s="34">
        <v>4.0999999999999996</v>
      </c>
      <c r="M202" s="36">
        <v>38</v>
      </c>
      <c r="N202" s="36">
        <v>16</v>
      </c>
      <c r="O202" s="36">
        <v>9</v>
      </c>
      <c r="P202" s="34">
        <v>4.0999999999999996</v>
      </c>
      <c r="Q202" s="34" t="s">
        <v>28</v>
      </c>
      <c r="R202" s="34" t="s">
        <v>29</v>
      </c>
      <c r="S202" s="34" t="s">
        <v>38</v>
      </c>
      <c r="T202" s="35">
        <v>45678</v>
      </c>
      <c r="U202" s="34">
        <v>2.2999999999999998</v>
      </c>
      <c r="V202" s="34">
        <v>2.7</v>
      </c>
      <c r="W202" s="34" t="s">
        <v>407</v>
      </c>
      <c r="X202" s="34" t="s">
        <v>768</v>
      </c>
    </row>
    <row r="203" spans="1:24" x14ac:dyDescent="0.3">
      <c r="A203" s="34" t="s">
        <v>287</v>
      </c>
      <c r="B203" s="35">
        <v>44574</v>
      </c>
      <c r="C203" s="34" t="s">
        <v>23</v>
      </c>
      <c r="D203" s="34" t="s">
        <v>41</v>
      </c>
      <c r="E203" s="36">
        <v>37</v>
      </c>
      <c r="F203" s="34" t="s">
        <v>57</v>
      </c>
      <c r="G203" s="34" t="s">
        <v>51</v>
      </c>
      <c r="H203" s="34" t="s">
        <v>63</v>
      </c>
      <c r="I203" s="34">
        <v>16.100000000000001</v>
      </c>
      <c r="J203" s="36">
        <v>93600</v>
      </c>
      <c r="K203" s="36">
        <v>8100</v>
      </c>
      <c r="L203" s="34">
        <v>3.9</v>
      </c>
      <c r="M203" s="36">
        <v>27</v>
      </c>
      <c r="N203" s="36">
        <v>14</v>
      </c>
      <c r="O203" s="36">
        <v>0</v>
      </c>
      <c r="P203" s="34">
        <v>2.9</v>
      </c>
      <c r="Q203" s="34" t="s">
        <v>28</v>
      </c>
      <c r="R203" s="34" t="s">
        <v>28</v>
      </c>
      <c r="S203" s="34" t="s">
        <v>43</v>
      </c>
      <c r="T203" s="35">
        <v>45170</v>
      </c>
      <c r="U203" s="34">
        <v>3.3</v>
      </c>
      <c r="V203" s="34">
        <v>4</v>
      </c>
      <c r="W203" s="34" t="s">
        <v>407</v>
      </c>
      <c r="X203" s="34" t="s">
        <v>769</v>
      </c>
    </row>
    <row r="204" spans="1:24" x14ac:dyDescent="0.3">
      <c r="A204" s="34" t="s">
        <v>294</v>
      </c>
      <c r="B204" s="35">
        <v>44936</v>
      </c>
      <c r="C204" s="34" t="s">
        <v>23</v>
      </c>
      <c r="D204" s="34" t="s">
        <v>24</v>
      </c>
      <c r="E204" s="36">
        <v>48</v>
      </c>
      <c r="F204" s="34" t="s">
        <v>57</v>
      </c>
      <c r="G204" s="34" t="s">
        <v>42</v>
      </c>
      <c r="H204" s="34" t="s">
        <v>37</v>
      </c>
      <c r="I204" s="34">
        <v>20.3</v>
      </c>
      <c r="J204" s="36">
        <v>129500</v>
      </c>
      <c r="K204" s="36">
        <v>12200</v>
      </c>
      <c r="L204" s="34">
        <v>4.2</v>
      </c>
      <c r="M204" s="36">
        <v>10</v>
      </c>
      <c r="N204" s="36">
        <v>13</v>
      </c>
      <c r="O204" s="36">
        <v>21</v>
      </c>
      <c r="P204" s="34">
        <v>3.7</v>
      </c>
      <c r="Q204" s="34" t="s">
        <v>28</v>
      </c>
      <c r="R204" s="34" t="s">
        <v>29</v>
      </c>
      <c r="S204" s="34" t="s">
        <v>43</v>
      </c>
      <c r="T204" s="35">
        <v>45430</v>
      </c>
      <c r="U204" s="34">
        <v>3.4</v>
      </c>
      <c r="V204" s="34">
        <v>3.8</v>
      </c>
      <c r="W204" s="34" t="s">
        <v>407</v>
      </c>
      <c r="X204" s="34" t="s">
        <v>770</v>
      </c>
    </row>
    <row r="205" spans="1:24" x14ac:dyDescent="0.3">
      <c r="A205" s="34" t="s">
        <v>297</v>
      </c>
      <c r="B205" s="35">
        <v>44803</v>
      </c>
      <c r="C205" s="34" t="s">
        <v>32</v>
      </c>
      <c r="D205" s="34" t="s">
        <v>41</v>
      </c>
      <c r="E205" s="36">
        <v>34</v>
      </c>
      <c r="F205" s="34" t="s">
        <v>57</v>
      </c>
      <c r="G205" s="34" t="s">
        <v>26</v>
      </c>
      <c r="H205" s="34" t="s">
        <v>55</v>
      </c>
      <c r="I205" s="34">
        <v>8.8000000000000007</v>
      </c>
      <c r="J205" s="36">
        <v>88600</v>
      </c>
      <c r="K205" s="36">
        <v>7500</v>
      </c>
      <c r="L205" s="34">
        <v>4.5999999999999996</v>
      </c>
      <c r="M205" s="36">
        <v>23</v>
      </c>
      <c r="N205" s="36">
        <v>14</v>
      </c>
      <c r="O205" s="36">
        <v>19</v>
      </c>
      <c r="P205" s="34">
        <v>4.2</v>
      </c>
      <c r="Q205" s="34" t="s">
        <v>29</v>
      </c>
      <c r="R205" s="34" t="s">
        <v>29</v>
      </c>
      <c r="S205" s="34" t="s">
        <v>30</v>
      </c>
      <c r="T205" s="35">
        <v>45416</v>
      </c>
      <c r="U205" s="34">
        <v>3.1</v>
      </c>
      <c r="V205" s="34">
        <v>3.7</v>
      </c>
      <c r="W205" s="34" t="s">
        <v>407</v>
      </c>
      <c r="X205" s="34" t="s">
        <v>771</v>
      </c>
    </row>
    <row r="206" spans="1:24" x14ac:dyDescent="0.3">
      <c r="A206" s="34" t="s">
        <v>299</v>
      </c>
      <c r="B206" s="35">
        <v>44221</v>
      </c>
      <c r="C206" s="34" t="s">
        <v>40</v>
      </c>
      <c r="D206" s="34" t="s">
        <v>41</v>
      </c>
      <c r="E206" s="36">
        <v>33</v>
      </c>
      <c r="F206" s="34" t="s">
        <v>57</v>
      </c>
      <c r="G206" s="34" t="s">
        <v>33</v>
      </c>
      <c r="H206" s="34" t="s">
        <v>27</v>
      </c>
      <c r="I206" s="34">
        <v>9.1999999999999993</v>
      </c>
      <c r="J206" s="36">
        <v>73800</v>
      </c>
      <c r="K206" s="36">
        <v>7400</v>
      </c>
      <c r="L206" s="34">
        <v>3.9</v>
      </c>
      <c r="M206" s="36">
        <v>25</v>
      </c>
      <c r="N206" s="36">
        <v>9</v>
      </c>
      <c r="O206" s="36">
        <v>26</v>
      </c>
      <c r="P206" s="34">
        <v>4.7</v>
      </c>
      <c r="Q206" s="34" t="s">
        <v>28</v>
      </c>
      <c r="R206" s="34" t="s">
        <v>28</v>
      </c>
      <c r="S206" s="34" t="s">
        <v>38</v>
      </c>
      <c r="T206" s="35">
        <v>44672</v>
      </c>
      <c r="U206" s="34">
        <v>3.5</v>
      </c>
      <c r="V206" s="34">
        <v>3.6</v>
      </c>
      <c r="W206" s="34" t="s">
        <v>407</v>
      </c>
      <c r="X206" s="34" t="s">
        <v>772</v>
      </c>
    </row>
    <row r="207" spans="1:24" x14ac:dyDescent="0.3">
      <c r="A207" s="34" t="s">
        <v>305</v>
      </c>
      <c r="B207" s="35">
        <v>44377</v>
      </c>
      <c r="C207" s="34" t="s">
        <v>48</v>
      </c>
      <c r="D207" s="34" t="s">
        <v>41</v>
      </c>
      <c r="E207" s="36">
        <v>36</v>
      </c>
      <c r="F207" s="34" t="s">
        <v>57</v>
      </c>
      <c r="G207" s="34" t="s">
        <v>51</v>
      </c>
      <c r="H207" s="34" t="s">
        <v>52</v>
      </c>
      <c r="I207" s="34">
        <v>10.199999999999999</v>
      </c>
      <c r="J207" s="36">
        <v>80100</v>
      </c>
      <c r="K207" s="36">
        <v>8000</v>
      </c>
      <c r="L207" s="34">
        <v>3.4</v>
      </c>
      <c r="M207" s="36">
        <v>36</v>
      </c>
      <c r="N207" s="36">
        <v>9</v>
      </c>
      <c r="O207" s="36">
        <v>2</v>
      </c>
      <c r="P207" s="34">
        <v>4.8</v>
      </c>
      <c r="Q207" s="34" t="s">
        <v>28</v>
      </c>
      <c r="R207" s="34" t="s">
        <v>28</v>
      </c>
      <c r="S207" s="34" t="s">
        <v>38</v>
      </c>
      <c r="T207" s="35">
        <v>44763</v>
      </c>
      <c r="U207" s="34">
        <v>3.9</v>
      </c>
      <c r="V207" s="34">
        <v>4.0999999999999996</v>
      </c>
      <c r="W207" s="34" t="s">
        <v>407</v>
      </c>
      <c r="X207" s="34" t="s">
        <v>773</v>
      </c>
    </row>
    <row r="208" spans="1:24" x14ac:dyDescent="0.3">
      <c r="A208" s="34" t="s">
        <v>315</v>
      </c>
      <c r="B208" s="35">
        <v>45469</v>
      </c>
      <c r="C208" s="34" t="s">
        <v>23</v>
      </c>
      <c r="D208" s="34" t="s">
        <v>24</v>
      </c>
      <c r="E208" s="36">
        <v>33</v>
      </c>
      <c r="F208" s="34" t="s">
        <v>50</v>
      </c>
      <c r="G208" s="34" t="s">
        <v>42</v>
      </c>
      <c r="H208" s="34" t="s">
        <v>37</v>
      </c>
      <c r="I208" s="34">
        <v>14.7</v>
      </c>
      <c r="J208" s="36">
        <v>111800</v>
      </c>
      <c r="K208" s="36">
        <v>12100</v>
      </c>
      <c r="L208" s="34">
        <v>4.0999999999999996</v>
      </c>
      <c r="M208" s="36">
        <v>6</v>
      </c>
      <c r="N208" s="36">
        <v>5</v>
      </c>
      <c r="O208" s="36">
        <v>1</v>
      </c>
      <c r="P208" s="34">
        <v>1.8</v>
      </c>
      <c r="Q208" s="34" t="s">
        <v>28</v>
      </c>
      <c r="R208" s="34" t="s">
        <v>29</v>
      </c>
      <c r="S208" s="34" t="s">
        <v>34</v>
      </c>
      <c r="T208" s="35">
        <v>45882</v>
      </c>
      <c r="U208" s="34">
        <v>2.7</v>
      </c>
      <c r="V208" s="34">
        <v>3.3</v>
      </c>
      <c r="W208" s="34" t="s">
        <v>407</v>
      </c>
      <c r="X208" s="34" t="s">
        <v>774</v>
      </c>
    </row>
    <row r="209" spans="1:24" x14ac:dyDescent="0.3">
      <c r="A209" s="34" t="s">
        <v>320</v>
      </c>
      <c r="B209" s="35">
        <v>44674</v>
      </c>
      <c r="C209" s="34" t="s">
        <v>36</v>
      </c>
      <c r="D209" s="34" t="s">
        <v>41</v>
      </c>
      <c r="E209" s="36">
        <v>40</v>
      </c>
      <c r="F209" s="34" t="s">
        <v>57</v>
      </c>
      <c r="G209" s="34" t="s">
        <v>33</v>
      </c>
      <c r="H209" s="34" t="s">
        <v>37</v>
      </c>
      <c r="I209" s="34">
        <v>15.9</v>
      </c>
      <c r="J209" s="36">
        <v>117400</v>
      </c>
      <c r="K209" s="36">
        <v>5400</v>
      </c>
      <c r="L209" s="34">
        <v>4.7</v>
      </c>
      <c r="M209" s="36">
        <v>18</v>
      </c>
      <c r="N209" s="36">
        <v>5</v>
      </c>
      <c r="O209" s="36">
        <v>26</v>
      </c>
      <c r="P209" s="34">
        <v>3.6</v>
      </c>
      <c r="Q209" s="34" t="s">
        <v>28</v>
      </c>
      <c r="R209" s="34" t="s">
        <v>29</v>
      </c>
      <c r="S209" s="34" t="s">
        <v>43</v>
      </c>
      <c r="T209" s="35">
        <v>45802</v>
      </c>
      <c r="U209" s="34">
        <v>4</v>
      </c>
      <c r="V209" s="34">
        <v>4.0999999999999996</v>
      </c>
      <c r="W209" s="34" t="s">
        <v>407</v>
      </c>
      <c r="X209" s="34" t="s">
        <v>775</v>
      </c>
    </row>
    <row r="210" spans="1:24" x14ac:dyDescent="0.3">
      <c r="A210" s="34" t="s">
        <v>326</v>
      </c>
      <c r="B210" s="35">
        <v>44862</v>
      </c>
      <c r="C210" s="34" t="s">
        <v>36</v>
      </c>
      <c r="D210" s="34" t="s">
        <v>41</v>
      </c>
      <c r="E210" s="36">
        <v>32</v>
      </c>
      <c r="F210" s="34" t="s">
        <v>57</v>
      </c>
      <c r="G210" s="34" t="s">
        <v>33</v>
      </c>
      <c r="H210" s="34" t="s">
        <v>37</v>
      </c>
      <c r="I210" s="34">
        <v>7.8</v>
      </c>
      <c r="J210" s="36">
        <v>80100</v>
      </c>
      <c r="K210" s="36">
        <v>7700</v>
      </c>
      <c r="L210" s="34">
        <v>2.6</v>
      </c>
      <c r="M210" s="36">
        <v>29</v>
      </c>
      <c r="N210" s="36">
        <v>7</v>
      </c>
      <c r="O210" s="36">
        <v>5</v>
      </c>
      <c r="P210" s="34">
        <v>2.8</v>
      </c>
      <c r="Q210" s="34" t="s">
        <v>28</v>
      </c>
      <c r="R210" s="34" t="s">
        <v>28</v>
      </c>
      <c r="S210" s="34" t="s">
        <v>43</v>
      </c>
      <c r="T210" s="35">
        <v>46128</v>
      </c>
      <c r="U210" s="34">
        <v>3.7</v>
      </c>
      <c r="V210" s="34">
        <v>3.8</v>
      </c>
      <c r="W210" s="34" t="s">
        <v>407</v>
      </c>
      <c r="X210" s="34" t="s">
        <v>776</v>
      </c>
    </row>
    <row r="211" spans="1:24" x14ac:dyDescent="0.3">
      <c r="A211" s="34" t="s">
        <v>327</v>
      </c>
      <c r="B211" s="35">
        <v>45453</v>
      </c>
      <c r="C211" s="34" t="s">
        <v>32</v>
      </c>
      <c r="D211" s="34" t="s">
        <v>24</v>
      </c>
      <c r="E211" s="36">
        <v>37</v>
      </c>
      <c r="F211" s="34" t="s">
        <v>57</v>
      </c>
      <c r="G211" s="34" t="s">
        <v>33</v>
      </c>
      <c r="H211" s="34" t="s">
        <v>37</v>
      </c>
      <c r="I211" s="34">
        <v>19.600000000000001</v>
      </c>
      <c r="J211" s="36">
        <v>128800</v>
      </c>
      <c r="K211" s="36">
        <v>7200</v>
      </c>
      <c r="L211" s="34">
        <v>4</v>
      </c>
      <c r="M211" s="36">
        <v>20</v>
      </c>
      <c r="N211" s="36">
        <v>16</v>
      </c>
      <c r="O211" s="36">
        <v>12</v>
      </c>
      <c r="P211" s="34">
        <v>4.9000000000000004</v>
      </c>
      <c r="Q211" s="34" t="s">
        <v>28</v>
      </c>
      <c r="R211" s="34" t="s">
        <v>29</v>
      </c>
      <c r="S211" s="34" t="s">
        <v>30</v>
      </c>
      <c r="T211" s="35">
        <v>45880</v>
      </c>
      <c r="U211" s="34">
        <v>2.2999999999999998</v>
      </c>
      <c r="V211" s="34">
        <v>2.7</v>
      </c>
      <c r="W211" s="34" t="s">
        <v>407</v>
      </c>
      <c r="X211" s="34" t="s">
        <v>777</v>
      </c>
    </row>
    <row r="212" spans="1:24" x14ac:dyDescent="0.3">
      <c r="A212" s="34" t="s">
        <v>337</v>
      </c>
      <c r="B212" s="35">
        <v>45258</v>
      </c>
      <c r="C212" s="34" t="s">
        <v>23</v>
      </c>
      <c r="D212" s="34" t="s">
        <v>24</v>
      </c>
      <c r="E212" s="36">
        <v>48</v>
      </c>
      <c r="F212" s="34" t="s">
        <v>57</v>
      </c>
      <c r="G212" s="34" t="s">
        <v>33</v>
      </c>
      <c r="H212" s="34" t="s">
        <v>46</v>
      </c>
      <c r="I212" s="34">
        <v>26.1</v>
      </c>
      <c r="J212" s="36">
        <v>136900</v>
      </c>
      <c r="K212" s="36">
        <v>9800</v>
      </c>
      <c r="L212" s="34">
        <v>3.2</v>
      </c>
      <c r="M212" s="36">
        <v>10</v>
      </c>
      <c r="N212" s="36">
        <v>10</v>
      </c>
      <c r="O212" s="36">
        <v>7</v>
      </c>
      <c r="P212" s="34">
        <v>4.4000000000000004</v>
      </c>
      <c r="Q212" s="34" t="s">
        <v>28</v>
      </c>
      <c r="R212" s="34" t="s">
        <v>28</v>
      </c>
      <c r="S212" s="34" t="s">
        <v>38</v>
      </c>
      <c r="T212" s="35">
        <v>45866</v>
      </c>
      <c r="U212" s="34">
        <v>4</v>
      </c>
      <c r="V212" s="34">
        <v>4</v>
      </c>
      <c r="W212" s="34" t="s">
        <v>407</v>
      </c>
      <c r="X212" s="34" t="s">
        <v>778</v>
      </c>
    </row>
    <row r="213" spans="1:24" x14ac:dyDescent="0.3">
      <c r="A213" s="34" t="s">
        <v>339</v>
      </c>
      <c r="B213" s="35">
        <v>45401</v>
      </c>
      <c r="C213" s="34" t="s">
        <v>54</v>
      </c>
      <c r="D213" s="34" t="s">
        <v>24</v>
      </c>
      <c r="E213" s="36">
        <v>56</v>
      </c>
      <c r="F213" s="34" t="s">
        <v>57</v>
      </c>
      <c r="G213" s="34" t="s">
        <v>26</v>
      </c>
      <c r="H213" s="34" t="s">
        <v>55</v>
      </c>
      <c r="I213" s="34">
        <v>26.8</v>
      </c>
      <c r="J213" s="36">
        <v>141100</v>
      </c>
      <c r="K213" s="36">
        <v>9200</v>
      </c>
      <c r="L213" s="34">
        <v>3.6</v>
      </c>
      <c r="M213" s="36">
        <v>29</v>
      </c>
      <c r="N213" s="36">
        <v>14</v>
      </c>
      <c r="O213" s="36">
        <v>9</v>
      </c>
      <c r="P213" s="34">
        <v>4.0999999999999996</v>
      </c>
      <c r="Q213" s="34" t="s">
        <v>28</v>
      </c>
      <c r="R213" s="34" t="s">
        <v>28</v>
      </c>
      <c r="S213" s="34" t="s">
        <v>38</v>
      </c>
      <c r="T213" s="35">
        <v>45903</v>
      </c>
      <c r="U213" s="34">
        <v>3.7</v>
      </c>
      <c r="V213" s="34">
        <v>4.2</v>
      </c>
      <c r="W213" s="34" t="s">
        <v>407</v>
      </c>
      <c r="X213" s="34" t="s">
        <v>779</v>
      </c>
    </row>
    <row r="214" spans="1:24" x14ac:dyDescent="0.3">
      <c r="A214" s="34" t="s">
        <v>342</v>
      </c>
      <c r="B214" s="35">
        <v>44775</v>
      </c>
      <c r="C214" s="34" t="s">
        <v>40</v>
      </c>
      <c r="D214" s="34" t="s">
        <v>24</v>
      </c>
      <c r="E214" s="36">
        <v>49</v>
      </c>
      <c r="F214" s="34" t="s">
        <v>50</v>
      </c>
      <c r="G214" s="34" t="s">
        <v>33</v>
      </c>
      <c r="H214" s="34" t="s">
        <v>27</v>
      </c>
      <c r="I214" s="34">
        <v>20.9</v>
      </c>
      <c r="J214" s="36">
        <v>112600</v>
      </c>
      <c r="K214" s="36">
        <v>6000</v>
      </c>
      <c r="L214" s="34">
        <v>3.2</v>
      </c>
      <c r="M214" s="36">
        <v>18</v>
      </c>
      <c r="N214" s="36">
        <v>10</v>
      </c>
      <c r="O214" s="36">
        <v>24</v>
      </c>
      <c r="P214" s="34">
        <v>3.1</v>
      </c>
      <c r="Q214" s="34" t="s">
        <v>28</v>
      </c>
      <c r="R214" s="34" t="s">
        <v>28</v>
      </c>
      <c r="S214" s="34" t="s">
        <v>60</v>
      </c>
      <c r="T214" s="35">
        <v>45778</v>
      </c>
      <c r="U214" s="34">
        <v>2.8</v>
      </c>
      <c r="V214" s="34">
        <v>3.1</v>
      </c>
      <c r="W214" s="34" t="s">
        <v>407</v>
      </c>
      <c r="X214" s="34" t="s">
        <v>780</v>
      </c>
    </row>
    <row r="215" spans="1:24" x14ac:dyDescent="0.3">
      <c r="A215" s="34" t="s">
        <v>72</v>
      </c>
      <c r="B215" s="35">
        <v>45524</v>
      </c>
      <c r="C215" s="34" t="s">
        <v>48</v>
      </c>
      <c r="D215" s="34" t="s">
        <v>41</v>
      </c>
      <c r="E215" s="36">
        <v>55</v>
      </c>
      <c r="F215" s="34" t="s">
        <v>25</v>
      </c>
      <c r="G215" s="34" t="s">
        <v>33</v>
      </c>
      <c r="H215" s="34" t="s">
        <v>63</v>
      </c>
      <c r="I215" s="34">
        <v>35</v>
      </c>
      <c r="J215" s="36">
        <v>159200</v>
      </c>
      <c r="K215" s="36">
        <v>9800</v>
      </c>
      <c r="L215" s="34">
        <v>3.1</v>
      </c>
      <c r="M215" s="36">
        <v>21</v>
      </c>
      <c r="N215" s="36">
        <v>7</v>
      </c>
      <c r="O215" s="36">
        <v>21</v>
      </c>
      <c r="P215" s="34">
        <v>3.2</v>
      </c>
      <c r="Q215" s="34" t="s">
        <v>29</v>
      </c>
      <c r="R215" s="34" t="s">
        <v>28</v>
      </c>
      <c r="S215" s="34" t="s">
        <v>38</v>
      </c>
      <c r="T215" s="35">
        <v>45711</v>
      </c>
      <c r="U215" s="34">
        <v>3</v>
      </c>
      <c r="V215" s="34">
        <v>3.5</v>
      </c>
      <c r="W215" s="34" t="s">
        <v>407</v>
      </c>
      <c r="X215" s="34" t="s">
        <v>781</v>
      </c>
    </row>
    <row r="216" spans="1:24" x14ac:dyDescent="0.3">
      <c r="A216" s="34" t="s">
        <v>97</v>
      </c>
      <c r="B216" s="35">
        <v>44989</v>
      </c>
      <c r="C216" s="34" t="s">
        <v>54</v>
      </c>
      <c r="D216" s="34" t="s">
        <v>24</v>
      </c>
      <c r="E216" s="36">
        <v>48</v>
      </c>
      <c r="F216" s="34" t="s">
        <v>25</v>
      </c>
      <c r="G216" s="34" t="s">
        <v>51</v>
      </c>
      <c r="H216" s="34" t="s">
        <v>63</v>
      </c>
      <c r="I216" s="34">
        <v>25.3</v>
      </c>
      <c r="J216" s="36">
        <v>116500</v>
      </c>
      <c r="K216" s="36">
        <v>7200</v>
      </c>
      <c r="L216" s="34">
        <v>3.6</v>
      </c>
      <c r="M216" s="36">
        <v>17</v>
      </c>
      <c r="N216" s="36">
        <v>13</v>
      </c>
      <c r="O216" s="36">
        <v>24</v>
      </c>
      <c r="P216" s="34">
        <v>4.5</v>
      </c>
      <c r="Q216" s="34" t="s">
        <v>29</v>
      </c>
      <c r="R216" s="34" t="s">
        <v>28</v>
      </c>
      <c r="S216" s="34" t="s">
        <v>60</v>
      </c>
      <c r="T216" s="35">
        <v>45196</v>
      </c>
      <c r="U216" s="34">
        <v>3.4</v>
      </c>
      <c r="V216" s="34">
        <v>3.6</v>
      </c>
      <c r="W216" s="34" t="s">
        <v>407</v>
      </c>
      <c r="X216" s="34" t="s">
        <v>782</v>
      </c>
    </row>
    <row r="217" spans="1:24" x14ac:dyDescent="0.3">
      <c r="A217" s="34" t="s">
        <v>139</v>
      </c>
      <c r="B217" s="35">
        <v>44862</v>
      </c>
      <c r="C217" s="34" t="s">
        <v>54</v>
      </c>
      <c r="D217" s="34" t="s">
        <v>41</v>
      </c>
      <c r="E217" s="36">
        <v>40</v>
      </c>
      <c r="F217" s="34" t="s">
        <v>25</v>
      </c>
      <c r="G217" s="34" t="s">
        <v>51</v>
      </c>
      <c r="H217" s="34" t="s">
        <v>27</v>
      </c>
      <c r="I217" s="34">
        <v>10.5</v>
      </c>
      <c r="J217" s="36">
        <v>74800</v>
      </c>
      <c r="K217" s="36">
        <v>6500</v>
      </c>
      <c r="L217" s="34">
        <v>3.9</v>
      </c>
      <c r="M217" s="36">
        <v>31</v>
      </c>
      <c r="N217" s="36">
        <v>15</v>
      </c>
      <c r="O217" s="36">
        <v>27</v>
      </c>
      <c r="P217" s="34">
        <v>2.9</v>
      </c>
      <c r="Q217" s="34" t="s">
        <v>29</v>
      </c>
      <c r="R217" s="34" t="s">
        <v>28</v>
      </c>
      <c r="S217" s="34" t="s">
        <v>30</v>
      </c>
      <c r="T217" s="35">
        <v>46007</v>
      </c>
      <c r="U217" s="34">
        <v>3.3</v>
      </c>
      <c r="V217" s="34">
        <v>3.6</v>
      </c>
      <c r="W217" s="34" t="s">
        <v>407</v>
      </c>
      <c r="X217" s="34" t="s">
        <v>783</v>
      </c>
    </row>
    <row r="218" spans="1:24" x14ac:dyDescent="0.3">
      <c r="A218" s="34" t="s">
        <v>141</v>
      </c>
      <c r="B218" s="35">
        <v>45147</v>
      </c>
      <c r="C218" s="34" t="s">
        <v>23</v>
      </c>
      <c r="D218" s="34" t="s">
        <v>41</v>
      </c>
      <c r="E218" s="36">
        <v>47</v>
      </c>
      <c r="F218" s="34" t="s">
        <v>25</v>
      </c>
      <c r="G218" s="34" t="s">
        <v>33</v>
      </c>
      <c r="H218" s="34" t="s">
        <v>55</v>
      </c>
      <c r="I218" s="34">
        <v>18.7</v>
      </c>
      <c r="J218" s="36">
        <v>108400</v>
      </c>
      <c r="K218" s="36">
        <v>4800</v>
      </c>
      <c r="L218" s="34">
        <v>3.3</v>
      </c>
      <c r="M218" s="36">
        <v>29</v>
      </c>
      <c r="N218" s="36">
        <v>19</v>
      </c>
      <c r="O218" s="36">
        <v>24</v>
      </c>
      <c r="P218" s="34">
        <v>3.2</v>
      </c>
      <c r="Q218" s="34" t="s">
        <v>29</v>
      </c>
      <c r="R218" s="34" t="s">
        <v>28</v>
      </c>
      <c r="S218" s="34" t="s">
        <v>43</v>
      </c>
      <c r="T218" s="35">
        <v>45451</v>
      </c>
      <c r="U218" s="34">
        <v>3</v>
      </c>
      <c r="V218" s="34">
        <v>2.8</v>
      </c>
      <c r="W218" s="34" t="s">
        <v>407</v>
      </c>
      <c r="X218" s="34" t="s">
        <v>784</v>
      </c>
    </row>
    <row r="219" spans="1:24" x14ac:dyDescent="0.3">
      <c r="A219" s="34" t="s">
        <v>151</v>
      </c>
      <c r="B219" s="35">
        <v>44423</v>
      </c>
      <c r="C219" s="34" t="s">
        <v>54</v>
      </c>
      <c r="D219" s="34" t="s">
        <v>41</v>
      </c>
      <c r="E219" s="36">
        <v>47</v>
      </c>
      <c r="F219" s="34" t="s">
        <v>25</v>
      </c>
      <c r="G219" s="34" t="s">
        <v>51</v>
      </c>
      <c r="H219" s="34" t="s">
        <v>46</v>
      </c>
      <c r="I219" s="34">
        <v>26.4</v>
      </c>
      <c r="J219" s="36">
        <v>118500</v>
      </c>
      <c r="K219" s="36">
        <v>12100</v>
      </c>
      <c r="L219" s="34">
        <v>3.4</v>
      </c>
      <c r="M219" s="36">
        <v>26</v>
      </c>
      <c r="N219" s="36">
        <v>13</v>
      </c>
      <c r="O219" s="36">
        <v>12</v>
      </c>
      <c r="P219" s="34">
        <v>3.2</v>
      </c>
      <c r="Q219" s="34" t="s">
        <v>29</v>
      </c>
      <c r="R219" s="34" t="s">
        <v>28</v>
      </c>
      <c r="S219" s="34" t="s">
        <v>60</v>
      </c>
      <c r="T219" s="35">
        <v>45840</v>
      </c>
      <c r="U219" s="34">
        <v>3.1</v>
      </c>
      <c r="V219" s="34">
        <v>3</v>
      </c>
      <c r="W219" s="34" t="s">
        <v>407</v>
      </c>
      <c r="X219" s="34" t="s">
        <v>785</v>
      </c>
    </row>
    <row r="220" spans="1:24" x14ac:dyDescent="0.3">
      <c r="A220" s="34" t="s">
        <v>155</v>
      </c>
      <c r="B220" s="35">
        <v>44895</v>
      </c>
      <c r="C220" s="34" t="s">
        <v>48</v>
      </c>
      <c r="D220" s="34" t="s">
        <v>24</v>
      </c>
      <c r="E220" s="36">
        <v>37</v>
      </c>
      <c r="F220" s="34" t="s">
        <v>25</v>
      </c>
      <c r="G220" s="34" t="s">
        <v>42</v>
      </c>
      <c r="H220" s="34" t="s">
        <v>63</v>
      </c>
      <c r="I220" s="34">
        <v>10</v>
      </c>
      <c r="J220" s="36">
        <v>94900</v>
      </c>
      <c r="K220" s="36">
        <v>9400</v>
      </c>
      <c r="L220" s="34">
        <v>3.5</v>
      </c>
      <c r="M220" s="36">
        <v>35</v>
      </c>
      <c r="N220" s="36">
        <v>14</v>
      </c>
      <c r="O220" s="36">
        <v>13</v>
      </c>
      <c r="P220" s="34">
        <v>3.7</v>
      </c>
      <c r="Q220" s="34" t="s">
        <v>29</v>
      </c>
      <c r="R220" s="34" t="s">
        <v>28</v>
      </c>
      <c r="S220" s="34" t="s">
        <v>34</v>
      </c>
      <c r="T220" s="35">
        <v>45535</v>
      </c>
      <c r="U220" s="34">
        <v>3.2</v>
      </c>
      <c r="V220" s="34">
        <v>3.3</v>
      </c>
      <c r="W220" s="34" t="s">
        <v>407</v>
      </c>
      <c r="X220" s="34" t="s">
        <v>786</v>
      </c>
    </row>
    <row r="221" spans="1:24" x14ac:dyDescent="0.3">
      <c r="A221" s="34" t="s">
        <v>169</v>
      </c>
      <c r="B221" s="35">
        <v>44283</v>
      </c>
      <c r="C221" s="34" t="s">
        <v>48</v>
      </c>
      <c r="D221" s="34" t="s">
        <v>24</v>
      </c>
      <c r="E221" s="36">
        <v>33</v>
      </c>
      <c r="F221" s="34" t="s">
        <v>25</v>
      </c>
      <c r="G221" s="34" t="s">
        <v>26</v>
      </c>
      <c r="H221" s="34" t="s">
        <v>46</v>
      </c>
      <c r="I221" s="34">
        <v>15.9</v>
      </c>
      <c r="J221" s="36">
        <v>90100</v>
      </c>
      <c r="K221" s="36">
        <v>2700</v>
      </c>
      <c r="L221" s="34">
        <v>3.5</v>
      </c>
      <c r="M221" s="36">
        <v>16</v>
      </c>
      <c r="N221" s="36">
        <v>11</v>
      </c>
      <c r="O221" s="36">
        <v>11</v>
      </c>
      <c r="P221" s="34">
        <v>3.6</v>
      </c>
      <c r="Q221" s="34" t="s">
        <v>29</v>
      </c>
      <c r="R221" s="34" t="s">
        <v>28</v>
      </c>
      <c r="S221" s="34" t="s">
        <v>43</v>
      </c>
      <c r="T221" s="35">
        <v>45514</v>
      </c>
      <c r="U221" s="34">
        <v>3.4</v>
      </c>
      <c r="V221" s="34">
        <v>3.7</v>
      </c>
      <c r="W221" s="34" t="s">
        <v>407</v>
      </c>
      <c r="X221" s="34" t="s">
        <v>787</v>
      </c>
    </row>
    <row r="222" spans="1:24" x14ac:dyDescent="0.3">
      <c r="A222" s="34" t="s">
        <v>174</v>
      </c>
      <c r="B222" s="35">
        <v>44586</v>
      </c>
      <c r="C222" s="34" t="s">
        <v>32</v>
      </c>
      <c r="D222" s="34" t="s">
        <v>41</v>
      </c>
      <c r="E222" s="36">
        <v>59</v>
      </c>
      <c r="F222" s="34" t="s">
        <v>25</v>
      </c>
      <c r="G222" s="34" t="s">
        <v>33</v>
      </c>
      <c r="H222" s="34" t="s">
        <v>27</v>
      </c>
      <c r="I222" s="34">
        <v>35</v>
      </c>
      <c r="J222" s="36">
        <v>179100</v>
      </c>
      <c r="K222" s="36">
        <v>6100</v>
      </c>
      <c r="L222" s="34">
        <v>3.4</v>
      </c>
      <c r="M222" s="36">
        <v>18</v>
      </c>
      <c r="N222" s="36">
        <v>8</v>
      </c>
      <c r="O222" s="36">
        <v>6</v>
      </c>
      <c r="P222" s="34">
        <v>4.4000000000000004</v>
      </c>
      <c r="Q222" s="34" t="s">
        <v>29</v>
      </c>
      <c r="R222" s="34" t="s">
        <v>28</v>
      </c>
      <c r="S222" s="34" t="s">
        <v>43</v>
      </c>
      <c r="T222" s="35">
        <v>45731</v>
      </c>
      <c r="U222" s="34">
        <v>3.4</v>
      </c>
      <c r="V222" s="34">
        <v>3.7</v>
      </c>
      <c r="W222" s="34" t="s">
        <v>407</v>
      </c>
      <c r="X222" s="34" t="s">
        <v>788</v>
      </c>
    </row>
    <row r="223" spans="1:24" x14ac:dyDescent="0.3">
      <c r="A223" s="34" t="s">
        <v>180</v>
      </c>
      <c r="B223" s="35">
        <v>44422</v>
      </c>
      <c r="C223" s="34" t="s">
        <v>23</v>
      </c>
      <c r="D223" s="34" t="s">
        <v>24</v>
      </c>
      <c r="E223" s="36">
        <v>55</v>
      </c>
      <c r="F223" s="34" t="s">
        <v>25</v>
      </c>
      <c r="G223" s="34" t="s">
        <v>26</v>
      </c>
      <c r="H223" s="34" t="s">
        <v>52</v>
      </c>
      <c r="I223" s="34">
        <v>35</v>
      </c>
      <c r="J223" s="36">
        <v>147500</v>
      </c>
      <c r="K223" s="36">
        <v>13900</v>
      </c>
      <c r="L223" s="34">
        <v>3.7</v>
      </c>
      <c r="M223" s="36">
        <v>38</v>
      </c>
      <c r="N223" s="36">
        <v>5</v>
      </c>
      <c r="O223" s="36">
        <v>23</v>
      </c>
      <c r="P223" s="34">
        <v>2.6</v>
      </c>
      <c r="Q223" s="34" t="s">
        <v>29</v>
      </c>
      <c r="R223" s="34" t="s">
        <v>28</v>
      </c>
      <c r="S223" s="34" t="s">
        <v>38</v>
      </c>
      <c r="T223" s="35">
        <v>45831</v>
      </c>
      <c r="U223" s="34">
        <v>4.0999999999999996</v>
      </c>
      <c r="V223" s="34">
        <v>4.9000000000000004</v>
      </c>
      <c r="W223" s="34" t="s">
        <v>407</v>
      </c>
      <c r="X223" s="34" t="s">
        <v>789</v>
      </c>
    </row>
    <row r="224" spans="1:24" x14ac:dyDescent="0.3">
      <c r="A224" s="34" t="s">
        <v>208</v>
      </c>
      <c r="B224" s="35">
        <v>45616</v>
      </c>
      <c r="C224" s="34" t="s">
        <v>48</v>
      </c>
      <c r="D224" s="34" t="s">
        <v>41</v>
      </c>
      <c r="E224" s="36">
        <v>32</v>
      </c>
      <c r="F224" s="34" t="s">
        <v>25</v>
      </c>
      <c r="G224" s="34" t="s">
        <v>33</v>
      </c>
      <c r="H224" s="34" t="s">
        <v>55</v>
      </c>
      <c r="I224" s="34">
        <v>8.4</v>
      </c>
      <c r="J224" s="36">
        <v>82200</v>
      </c>
      <c r="K224" s="36">
        <v>6800</v>
      </c>
      <c r="L224" s="34">
        <v>3.2</v>
      </c>
      <c r="M224" s="36">
        <v>25</v>
      </c>
      <c r="N224" s="36">
        <v>6</v>
      </c>
      <c r="O224" s="36">
        <v>28</v>
      </c>
      <c r="P224" s="34">
        <v>3.6</v>
      </c>
      <c r="Q224" s="34" t="s">
        <v>29</v>
      </c>
      <c r="R224" s="34" t="s">
        <v>28</v>
      </c>
      <c r="S224" s="34" t="s">
        <v>38</v>
      </c>
      <c r="T224" s="35">
        <v>46084</v>
      </c>
      <c r="U224" s="34">
        <v>2.5</v>
      </c>
      <c r="V224" s="34">
        <v>2.8</v>
      </c>
      <c r="W224" s="34" t="s">
        <v>407</v>
      </c>
      <c r="X224" s="34" t="s">
        <v>790</v>
      </c>
    </row>
    <row r="225" spans="1:24" x14ac:dyDescent="0.3">
      <c r="A225" s="34" t="s">
        <v>214</v>
      </c>
      <c r="B225" s="35">
        <v>44695</v>
      </c>
      <c r="C225" s="34" t="s">
        <v>23</v>
      </c>
      <c r="D225" s="34" t="s">
        <v>41</v>
      </c>
      <c r="E225" s="36">
        <v>53</v>
      </c>
      <c r="F225" s="34" t="s">
        <v>25</v>
      </c>
      <c r="G225" s="34" t="s">
        <v>33</v>
      </c>
      <c r="H225" s="34" t="s">
        <v>55</v>
      </c>
      <c r="I225" s="34">
        <v>32.299999999999997</v>
      </c>
      <c r="J225" s="36">
        <v>156800</v>
      </c>
      <c r="K225" s="36">
        <v>9200</v>
      </c>
      <c r="L225" s="34">
        <v>3.6</v>
      </c>
      <c r="M225" s="36">
        <v>25</v>
      </c>
      <c r="N225" s="36">
        <v>10</v>
      </c>
      <c r="O225" s="36">
        <v>3</v>
      </c>
      <c r="P225" s="34">
        <v>5</v>
      </c>
      <c r="Q225" s="34" t="s">
        <v>29</v>
      </c>
      <c r="R225" s="34" t="s">
        <v>28</v>
      </c>
      <c r="S225" s="34" t="s">
        <v>43</v>
      </c>
      <c r="T225" s="35">
        <v>45562</v>
      </c>
      <c r="U225" s="34">
        <v>4.5999999999999996</v>
      </c>
      <c r="V225" s="34">
        <v>5</v>
      </c>
      <c r="W225" s="34" t="s">
        <v>407</v>
      </c>
      <c r="X225" s="34" t="s">
        <v>791</v>
      </c>
    </row>
    <row r="226" spans="1:24" x14ac:dyDescent="0.3">
      <c r="A226" s="34" t="s">
        <v>254</v>
      </c>
      <c r="B226" s="35">
        <v>45583</v>
      </c>
      <c r="C226" s="34" t="s">
        <v>40</v>
      </c>
      <c r="D226" s="34" t="s">
        <v>24</v>
      </c>
      <c r="E226" s="36">
        <v>54</v>
      </c>
      <c r="F226" s="34" t="s">
        <v>25</v>
      </c>
      <c r="G226" s="34" t="s">
        <v>51</v>
      </c>
      <c r="H226" s="34" t="s">
        <v>46</v>
      </c>
      <c r="I226" s="34">
        <v>28.2</v>
      </c>
      <c r="J226" s="36">
        <v>123400</v>
      </c>
      <c r="K226" s="36">
        <v>6300</v>
      </c>
      <c r="L226" s="34">
        <v>1.8</v>
      </c>
      <c r="M226" s="36">
        <v>12</v>
      </c>
      <c r="N226" s="36">
        <v>8</v>
      </c>
      <c r="O226" s="36">
        <v>29</v>
      </c>
      <c r="P226" s="34">
        <v>2.7</v>
      </c>
      <c r="Q226" s="34" t="s">
        <v>29</v>
      </c>
      <c r="R226" s="34" t="s">
        <v>28</v>
      </c>
      <c r="S226" s="34" t="s">
        <v>43</v>
      </c>
      <c r="T226" s="35">
        <v>46127</v>
      </c>
      <c r="U226" s="34">
        <v>3.2</v>
      </c>
      <c r="V226" s="34">
        <v>3.1</v>
      </c>
      <c r="W226" s="34" t="s">
        <v>407</v>
      </c>
      <c r="X226" s="34" t="s">
        <v>792</v>
      </c>
    </row>
    <row r="227" spans="1:24" x14ac:dyDescent="0.3">
      <c r="A227" s="34" t="s">
        <v>306</v>
      </c>
      <c r="B227" s="35">
        <v>44214</v>
      </c>
      <c r="C227" s="34" t="s">
        <v>32</v>
      </c>
      <c r="D227" s="34" t="s">
        <v>24</v>
      </c>
      <c r="E227" s="36">
        <v>40</v>
      </c>
      <c r="F227" s="34" t="s">
        <v>25</v>
      </c>
      <c r="G227" s="34" t="s">
        <v>33</v>
      </c>
      <c r="H227" s="34" t="s">
        <v>27</v>
      </c>
      <c r="I227" s="34">
        <v>18.5</v>
      </c>
      <c r="J227" s="36">
        <v>100700</v>
      </c>
      <c r="K227" s="36">
        <v>6300</v>
      </c>
      <c r="L227" s="34">
        <v>4.2</v>
      </c>
      <c r="M227" s="36">
        <v>22</v>
      </c>
      <c r="N227" s="36">
        <v>13</v>
      </c>
      <c r="O227" s="36">
        <v>10</v>
      </c>
      <c r="P227" s="34">
        <v>4.4000000000000004</v>
      </c>
      <c r="Q227" s="34" t="s">
        <v>29</v>
      </c>
      <c r="R227" s="34" t="s">
        <v>29</v>
      </c>
      <c r="S227" s="34" t="s">
        <v>60</v>
      </c>
      <c r="T227" s="35">
        <v>45518</v>
      </c>
      <c r="U227" s="34">
        <v>3</v>
      </c>
      <c r="V227" s="34">
        <v>3.6</v>
      </c>
      <c r="W227" s="34" t="s">
        <v>407</v>
      </c>
      <c r="X227" s="34" t="s">
        <v>793</v>
      </c>
    </row>
    <row r="228" spans="1:24" x14ac:dyDescent="0.3">
      <c r="A228" s="34" t="s">
        <v>316</v>
      </c>
      <c r="B228" s="35">
        <v>45273</v>
      </c>
      <c r="C228" s="34" t="s">
        <v>48</v>
      </c>
      <c r="D228" s="34" t="s">
        <v>24</v>
      </c>
      <c r="E228" s="36">
        <v>57</v>
      </c>
      <c r="F228" s="34" t="s">
        <v>25</v>
      </c>
      <c r="G228" s="34" t="s">
        <v>26</v>
      </c>
      <c r="H228" s="34" t="s">
        <v>63</v>
      </c>
      <c r="I228" s="34">
        <v>29</v>
      </c>
      <c r="J228" s="36">
        <v>135800</v>
      </c>
      <c r="K228" s="36">
        <v>13900</v>
      </c>
      <c r="L228" s="34">
        <v>4</v>
      </c>
      <c r="M228" s="36">
        <v>22</v>
      </c>
      <c r="N228" s="36">
        <v>12</v>
      </c>
      <c r="O228" s="36">
        <v>1</v>
      </c>
      <c r="P228" s="34">
        <v>3.8</v>
      </c>
      <c r="Q228" s="34" t="s">
        <v>29</v>
      </c>
      <c r="R228" s="34" t="s">
        <v>29</v>
      </c>
      <c r="S228" s="34" t="s">
        <v>60</v>
      </c>
      <c r="T228" s="35">
        <v>45681</v>
      </c>
      <c r="U228" s="34">
        <v>3.1</v>
      </c>
      <c r="V228" s="34">
        <v>3.3</v>
      </c>
      <c r="W228" s="34" t="s">
        <v>407</v>
      </c>
      <c r="X228" s="34" t="s">
        <v>794</v>
      </c>
    </row>
    <row r="229" spans="1:24" x14ac:dyDescent="0.3">
      <c r="A229" s="34" t="s">
        <v>319</v>
      </c>
      <c r="B229" s="35">
        <v>44515</v>
      </c>
      <c r="C229" s="34" t="s">
        <v>54</v>
      </c>
      <c r="D229" s="34" t="s">
        <v>24</v>
      </c>
      <c r="E229" s="36">
        <v>29</v>
      </c>
      <c r="F229" s="34" t="s">
        <v>25</v>
      </c>
      <c r="G229" s="34" t="s">
        <v>51</v>
      </c>
      <c r="H229" s="34" t="s">
        <v>52</v>
      </c>
      <c r="I229" s="34">
        <v>9.9</v>
      </c>
      <c r="J229" s="36">
        <v>47900</v>
      </c>
      <c r="K229" s="36">
        <v>2300</v>
      </c>
      <c r="L229" s="34">
        <v>4</v>
      </c>
      <c r="M229" s="36">
        <v>6</v>
      </c>
      <c r="N229" s="36">
        <v>8</v>
      </c>
      <c r="O229" s="36">
        <v>26</v>
      </c>
      <c r="P229" s="34">
        <v>3.4</v>
      </c>
      <c r="Q229" s="34" t="s">
        <v>29</v>
      </c>
      <c r="R229" s="34" t="s">
        <v>29</v>
      </c>
      <c r="S229" s="34" t="s">
        <v>30</v>
      </c>
      <c r="T229" s="35">
        <v>44884</v>
      </c>
      <c r="U229" s="34">
        <v>4.0999999999999996</v>
      </c>
      <c r="V229" s="34">
        <v>4</v>
      </c>
      <c r="W229" s="34" t="s">
        <v>407</v>
      </c>
      <c r="X229" s="34" t="s">
        <v>795</v>
      </c>
    </row>
    <row r="230" spans="1:24" x14ac:dyDescent="0.3">
      <c r="A230" s="34" t="s">
        <v>336</v>
      </c>
      <c r="B230" s="35">
        <v>44742</v>
      </c>
      <c r="C230" s="34" t="s">
        <v>36</v>
      </c>
      <c r="D230" s="34" t="s">
        <v>41</v>
      </c>
      <c r="E230" s="36">
        <v>60</v>
      </c>
      <c r="F230" s="34" t="s">
        <v>25</v>
      </c>
      <c r="G230" s="34" t="s">
        <v>26</v>
      </c>
      <c r="H230" s="34" t="s">
        <v>52</v>
      </c>
      <c r="I230" s="34">
        <v>35</v>
      </c>
      <c r="J230" s="36">
        <v>157000</v>
      </c>
      <c r="K230" s="36">
        <v>4400</v>
      </c>
      <c r="L230" s="34">
        <v>3.2</v>
      </c>
      <c r="M230" s="36">
        <v>28</v>
      </c>
      <c r="N230" s="36">
        <v>14</v>
      </c>
      <c r="O230" s="36">
        <v>23</v>
      </c>
      <c r="P230" s="34">
        <v>4.2</v>
      </c>
      <c r="Q230" s="34" t="s">
        <v>29</v>
      </c>
      <c r="R230" s="34" t="s">
        <v>28</v>
      </c>
      <c r="S230" s="34" t="s">
        <v>34</v>
      </c>
      <c r="T230" s="35">
        <v>45507</v>
      </c>
      <c r="U230" s="34">
        <v>4.4000000000000004</v>
      </c>
      <c r="V230" s="34">
        <v>4.9000000000000004</v>
      </c>
      <c r="W230" s="34" t="s">
        <v>407</v>
      </c>
      <c r="X230" s="34" t="s">
        <v>796</v>
      </c>
    </row>
    <row r="231" spans="1:24" x14ac:dyDescent="0.3">
      <c r="A231" s="34" t="s">
        <v>22</v>
      </c>
      <c r="B231" s="35">
        <v>44682</v>
      </c>
      <c r="C231" s="34" t="s">
        <v>23</v>
      </c>
      <c r="D231" s="34" t="s">
        <v>24</v>
      </c>
      <c r="E231" s="36">
        <v>52</v>
      </c>
      <c r="F231" s="34" t="s">
        <v>25</v>
      </c>
      <c r="G231" s="34" t="s">
        <v>26</v>
      </c>
      <c r="H231" s="34" t="s">
        <v>27</v>
      </c>
      <c r="I231" s="34">
        <v>26.9</v>
      </c>
      <c r="J231" s="36">
        <v>123100</v>
      </c>
      <c r="K231" s="36">
        <v>8500</v>
      </c>
      <c r="L231" s="34">
        <v>4</v>
      </c>
      <c r="M231" s="36">
        <v>35</v>
      </c>
      <c r="N231" s="36">
        <v>9</v>
      </c>
      <c r="O231" s="36">
        <v>30</v>
      </c>
      <c r="P231" s="34">
        <v>4.7</v>
      </c>
      <c r="Q231" s="34" t="s">
        <v>28</v>
      </c>
      <c r="R231" s="34" t="s">
        <v>29</v>
      </c>
      <c r="S231" s="34" t="s">
        <v>30</v>
      </c>
      <c r="T231" s="35">
        <v>45834</v>
      </c>
      <c r="U231" s="34">
        <v>3.7</v>
      </c>
      <c r="V231" s="34">
        <v>4.2</v>
      </c>
      <c r="W231" s="34" t="s">
        <v>407</v>
      </c>
      <c r="X231" s="34" t="s">
        <v>797</v>
      </c>
    </row>
    <row r="232" spans="1:24" x14ac:dyDescent="0.3">
      <c r="A232" s="34" t="s">
        <v>31</v>
      </c>
      <c r="B232" s="35">
        <v>44829</v>
      </c>
      <c r="C232" s="34" t="s">
        <v>32</v>
      </c>
      <c r="D232" s="34" t="s">
        <v>24</v>
      </c>
      <c r="E232" s="36">
        <v>43</v>
      </c>
      <c r="F232" s="34" t="s">
        <v>25</v>
      </c>
      <c r="G232" s="34" t="s">
        <v>33</v>
      </c>
      <c r="H232" s="34" t="s">
        <v>27</v>
      </c>
      <c r="I232" s="34">
        <v>19.2</v>
      </c>
      <c r="J232" s="36">
        <v>102500</v>
      </c>
      <c r="K232" s="36">
        <v>11600</v>
      </c>
      <c r="L232" s="34">
        <v>3</v>
      </c>
      <c r="M232" s="36">
        <v>20</v>
      </c>
      <c r="N232" s="36">
        <v>16</v>
      </c>
      <c r="O232" s="36">
        <v>8</v>
      </c>
      <c r="P232" s="34">
        <v>3.5</v>
      </c>
      <c r="Q232" s="34" t="s">
        <v>28</v>
      </c>
      <c r="R232" s="34" t="s">
        <v>28</v>
      </c>
      <c r="S232" s="34" t="s">
        <v>34</v>
      </c>
      <c r="T232" s="35">
        <v>45919</v>
      </c>
      <c r="U232" s="34">
        <v>2.8</v>
      </c>
      <c r="V232" s="34">
        <v>3</v>
      </c>
      <c r="W232" s="34" t="s">
        <v>407</v>
      </c>
      <c r="X232" s="34" t="s">
        <v>798</v>
      </c>
    </row>
    <row r="233" spans="1:24" x14ac:dyDescent="0.3">
      <c r="A233" s="34" t="s">
        <v>35</v>
      </c>
      <c r="B233" s="35">
        <v>45159</v>
      </c>
      <c r="C233" s="34" t="s">
        <v>36</v>
      </c>
      <c r="D233" s="34" t="s">
        <v>24</v>
      </c>
      <c r="E233" s="36">
        <v>32</v>
      </c>
      <c r="F233" s="34" t="s">
        <v>25</v>
      </c>
      <c r="G233" s="34" t="s">
        <v>33</v>
      </c>
      <c r="H233" s="34" t="s">
        <v>37</v>
      </c>
      <c r="I233" s="34">
        <v>14.3</v>
      </c>
      <c r="J233" s="36">
        <v>108400</v>
      </c>
      <c r="K233" s="36">
        <v>11600</v>
      </c>
      <c r="L233" s="34">
        <v>4.2</v>
      </c>
      <c r="M233" s="36">
        <v>5</v>
      </c>
      <c r="N233" s="36">
        <v>13</v>
      </c>
      <c r="O233" s="36">
        <v>13</v>
      </c>
      <c r="P233" s="34">
        <v>3.6</v>
      </c>
      <c r="Q233" s="34" t="s">
        <v>28</v>
      </c>
      <c r="R233" s="34" t="s">
        <v>29</v>
      </c>
      <c r="S233" s="34" t="s">
        <v>38</v>
      </c>
      <c r="T233" s="35">
        <v>45793</v>
      </c>
      <c r="U233" s="34">
        <v>3.3</v>
      </c>
      <c r="V233" s="34">
        <v>3.7</v>
      </c>
      <c r="W233" s="34" t="s">
        <v>407</v>
      </c>
      <c r="X233" s="34" t="s">
        <v>799</v>
      </c>
    </row>
    <row r="234" spans="1:24" x14ac:dyDescent="0.3">
      <c r="A234" s="34" t="s">
        <v>39</v>
      </c>
      <c r="B234" s="35">
        <v>44963</v>
      </c>
      <c r="C234" s="34" t="s">
        <v>40</v>
      </c>
      <c r="D234" s="34" t="s">
        <v>41</v>
      </c>
      <c r="E234" s="36">
        <v>52</v>
      </c>
      <c r="F234" s="34" t="s">
        <v>25</v>
      </c>
      <c r="G234" s="34" t="s">
        <v>42</v>
      </c>
      <c r="H234" s="34" t="s">
        <v>27</v>
      </c>
      <c r="I234" s="34">
        <v>28.6</v>
      </c>
      <c r="J234" s="36">
        <v>170900</v>
      </c>
      <c r="K234" s="36">
        <v>16500</v>
      </c>
      <c r="L234" s="34">
        <v>3.4</v>
      </c>
      <c r="M234" s="36">
        <v>15</v>
      </c>
      <c r="N234" s="36">
        <v>12</v>
      </c>
      <c r="O234" s="36">
        <v>24</v>
      </c>
      <c r="P234" s="34">
        <v>4.9000000000000004</v>
      </c>
      <c r="Q234" s="34" t="s">
        <v>28</v>
      </c>
      <c r="R234" s="34" t="s">
        <v>28</v>
      </c>
      <c r="S234" s="34" t="s">
        <v>43</v>
      </c>
      <c r="T234" s="35">
        <v>45213</v>
      </c>
      <c r="U234" s="34">
        <v>4.0999999999999996</v>
      </c>
      <c r="V234" s="34">
        <v>4.5999999999999996</v>
      </c>
      <c r="W234" s="34" t="s">
        <v>407</v>
      </c>
      <c r="X234" s="34" t="s">
        <v>800</v>
      </c>
    </row>
    <row r="235" spans="1:24" x14ac:dyDescent="0.3">
      <c r="A235" s="34" t="s">
        <v>45</v>
      </c>
      <c r="B235" s="35">
        <v>44678</v>
      </c>
      <c r="C235" s="34" t="s">
        <v>40</v>
      </c>
      <c r="D235" s="34" t="s">
        <v>24</v>
      </c>
      <c r="E235" s="36">
        <v>41</v>
      </c>
      <c r="F235" s="34" t="s">
        <v>25</v>
      </c>
      <c r="G235" s="34" t="s">
        <v>33</v>
      </c>
      <c r="H235" s="34" t="s">
        <v>46</v>
      </c>
      <c r="I235" s="34">
        <v>19.2</v>
      </c>
      <c r="J235" s="36">
        <v>121800</v>
      </c>
      <c r="K235" s="36">
        <v>7100</v>
      </c>
      <c r="L235" s="34">
        <v>3.3</v>
      </c>
      <c r="M235" s="36">
        <v>26</v>
      </c>
      <c r="N235" s="36">
        <v>17</v>
      </c>
      <c r="O235" s="36">
        <v>27</v>
      </c>
      <c r="P235" s="34">
        <v>3</v>
      </c>
      <c r="Q235" s="34" t="s">
        <v>28</v>
      </c>
      <c r="R235" s="34" t="s">
        <v>28</v>
      </c>
      <c r="S235" s="34" t="s">
        <v>43</v>
      </c>
      <c r="T235" s="35">
        <v>45418</v>
      </c>
      <c r="U235" s="34">
        <v>2.9</v>
      </c>
      <c r="V235" s="34">
        <v>3.6</v>
      </c>
      <c r="W235" s="34" t="s">
        <v>407</v>
      </c>
      <c r="X235" s="34" t="s">
        <v>801</v>
      </c>
    </row>
    <row r="236" spans="1:24" x14ac:dyDescent="0.3">
      <c r="A236" s="34" t="s">
        <v>59</v>
      </c>
      <c r="B236" s="35">
        <v>44853</v>
      </c>
      <c r="C236" s="34" t="s">
        <v>48</v>
      </c>
      <c r="D236" s="34" t="s">
        <v>41</v>
      </c>
      <c r="E236" s="36">
        <v>56</v>
      </c>
      <c r="F236" s="34" t="s">
        <v>25</v>
      </c>
      <c r="G236" s="34" t="s">
        <v>33</v>
      </c>
      <c r="H236" s="34" t="s">
        <v>52</v>
      </c>
      <c r="I236" s="34">
        <v>27.5</v>
      </c>
      <c r="J236" s="36">
        <v>134700</v>
      </c>
      <c r="K236" s="36">
        <v>11000</v>
      </c>
      <c r="L236" s="34">
        <v>3</v>
      </c>
      <c r="M236" s="36">
        <v>11</v>
      </c>
      <c r="N236" s="36">
        <v>7</v>
      </c>
      <c r="O236" s="36">
        <v>3</v>
      </c>
      <c r="P236" s="34">
        <v>4</v>
      </c>
      <c r="Q236" s="34" t="s">
        <v>28</v>
      </c>
      <c r="R236" s="34" t="s">
        <v>28</v>
      </c>
      <c r="S236" s="34" t="s">
        <v>60</v>
      </c>
      <c r="T236" s="35">
        <v>45992</v>
      </c>
      <c r="U236" s="34">
        <v>4</v>
      </c>
      <c r="V236" s="34">
        <v>4.4000000000000004</v>
      </c>
      <c r="W236" s="34" t="s">
        <v>407</v>
      </c>
      <c r="X236" s="34" t="s">
        <v>802</v>
      </c>
    </row>
    <row r="237" spans="1:24" x14ac:dyDescent="0.3">
      <c r="A237" s="34" t="s">
        <v>62</v>
      </c>
      <c r="B237" s="35">
        <v>44545</v>
      </c>
      <c r="C237" s="34" t="s">
        <v>40</v>
      </c>
      <c r="D237" s="34" t="s">
        <v>24</v>
      </c>
      <c r="E237" s="36">
        <v>37</v>
      </c>
      <c r="F237" s="34" t="s">
        <v>25</v>
      </c>
      <c r="G237" s="34" t="s">
        <v>51</v>
      </c>
      <c r="H237" s="34" t="s">
        <v>63</v>
      </c>
      <c r="I237" s="34">
        <v>8.6</v>
      </c>
      <c r="J237" s="36">
        <v>65400</v>
      </c>
      <c r="K237" s="36">
        <v>5800</v>
      </c>
      <c r="L237" s="34">
        <v>3.4</v>
      </c>
      <c r="M237" s="36">
        <v>16</v>
      </c>
      <c r="N237" s="36">
        <v>13</v>
      </c>
      <c r="O237" s="36">
        <v>1</v>
      </c>
      <c r="P237" s="34">
        <v>4.4000000000000004</v>
      </c>
      <c r="Q237" s="34" t="s">
        <v>28</v>
      </c>
      <c r="R237" s="34" t="s">
        <v>28</v>
      </c>
      <c r="S237" s="34" t="s">
        <v>34</v>
      </c>
      <c r="T237" s="35">
        <v>45899</v>
      </c>
      <c r="U237" s="34">
        <v>3.6</v>
      </c>
      <c r="V237" s="34">
        <v>3.9</v>
      </c>
      <c r="W237" s="34" t="s">
        <v>407</v>
      </c>
      <c r="X237" s="34" t="s">
        <v>803</v>
      </c>
    </row>
    <row r="238" spans="1:24" x14ac:dyDescent="0.3">
      <c r="A238" s="34" t="s">
        <v>64</v>
      </c>
      <c r="B238" s="35">
        <v>44469</v>
      </c>
      <c r="C238" s="34" t="s">
        <v>54</v>
      </c>
      <c r="D238" s="34" t="s">
        <v>41</v>
      </c>
      <c r="E238" s="36">
        <v>53</v>
      </c>
      <c r="F238" s="34" t="s">
        <v>25</v>
      </c>
      <c r="G238" s="34" t="s">
        <v>33</v>
      </c>
      <c r="H238" s="34" t="s">
        <v>27</v>
      </c>
      <c r="I238" s="34">
        <v>30.9</v>
      </c>
      <c r="J238" s="36">
        <v>153300</v>
      </c>
      <c r="K238" s="36">
        <v>3600</v>
      </c>
      <c r="L238" s="34">
        <v>3.5</v>
      </c>
      <c r="M238" s="36">
        <v>19</v>
      </c>
      <c r="N238" s="36">
        <v>10</v>
      </c>
      <c r="O238" s="36">
        <v>3</v>
      </c>
      <c r="P238" s="34">
        <v>4.0999999999999996</v>
      </c>
      <c r="Q238" s="34" t="s">
        <v>28</v>
      </c>
      <c r="R238" s="34" t="s">
        <v>28</v>
      </c>
      <c r="S238" s="34" t="s">
        <v>30</v>
      </c>
      <c r="T238" s="35">
        <v>45109</v>
      </c>
      <c r="U238" s="34">
        <v>2</v>
      </c>
      <c r="V238" s="34">
        <v>2</v>
      </c>
      <c r="W238" s="34" t="s">
        <v>407</v>
      </c>
      <c r="X238" s="34" t="s">
        <v>804</v>
      </c>
    </row>
    <row r="239" spans="1:24" x14ac:dyDescent="0.3">
      <c r="A239" s="34" t="s">
        <v>68</v>
      </c>
      <c r="B239" s="35">
        <v>45515</v>
      </c>
      <c r="C239" s="34" t="s">
        <v>48</v>
      </c>
      <c r="D239" s="34" t="s">
        <v>24</v>
      </c>
      <c r="E239" s="36">
        <v>38</v>
      </c>
      <c r="F239" s="34" t="s">
        <v>25</v>
      </c>
      <c r="G239" s="34" t="s">
        <v>51</v>
      </c>
      <c r="H239" s="34" t="s">
        <v>52</v>
      </c>
      <c r="I239" s="34">
        <v>16</v>
      </c>
      <c r="J239" s="36">
        <v>92500</v>
      </c>
      <c r="K239" s="36">
        <v>3500</v>
      </c>
      <c r="L239" s="34">
        <v>4</v>
      </c>
      <c r="M239" s="36">
        <v>22</v>
      </c>
      <c r="N239" s="36">
        <v>9</v>
      </c>
      <c r="O239" s="36">
        <v>6</v>
      </c>
      <c r="P239" s="34">
        <v>3.7</v>
      </c>
      <c r="Q239" s="34" t="s">
        <v>28</v>
      </c>
      <c r="R239" s="34" t="s">
        <v>29</v>
      </c>
      <c r="S239" s="34" t="s">
        <v>43</v>
      </c>
      <c r="T239" s="35">
        <v>45716</v>
      </c>
      <c r="U239" s="34">
        <v>3.6</v>
      </c>
      <c r="V239" s="34">
        <v>4.5</v>
      </c>
      <c r="W239" s="34" t="s">
        <v>407</v>
      </c>
      <c r="X239" s="34" t="s">
        <v>805</v>
      </c>
    </row>
    <row r="240" spans="1:24" x14ac:dyDescent="0.3">
      <c r="A240" s="34" t="s">
        <v>73</v>
      </c>
      <c r="B240" s="35">
        <v>45056</v>
      </c>
      <c r="C240" s="34" t="s">
        <v>54</v>
      </c>
      <c r="D240" s="34" t="s">
        <v>24</v>
      </c>
      <c r="E240" s="36">
        <v>31</v>
      </c>
      <c r="F240" s="34" t="s">
        <v>25</v>
      </c>
      <c r="G240" s="34" t="s">
        <v>26</v>
      </c>
      <c r="H240" s="34" t="s">
        <v>52</v>
      </c>
      <c r="I240" s="34">
        <v>13.3</v>
      </c>
      <c r="J240" s="36">
        <v>81700</v>
      </c>
      <c r="K240" s="36">
        <v>2700</v>
      </c>
      <c r="L240" s="34">
        <v>3.7</v>
      </c>
      <c r="M240" s="36">
        <v>22</v>
      </c>
      <c r="N240" s="36">
        <v>21</v>
      </c>
      <c r="O240" s="36">
        <v>9</v>
      </c>
      <c r="P240" s="34">
        <v>4.0999999999999996</v>
      </c>
      <c r="Q240" s="34" t="s">
        <v>28</v>
      </c>
      <c r="R240" s="34" t="s">
        <v>28</v>
      </c>
      <c r="S240" s="34" t="s">
        <v>38</v>
      </c>
      <c r="T240" s="35">
        <v>46045</v>
      </c>
      <c r="U240" s="34">
        <v>3.8</v>
      </c>
      <c r="V240" s="34">
        <v>4.2</v>
      </c>
      <c r="W240" s="34" t="s">
        <v>407</v>
      </c>
      <c r="X240" s="34" t="s">
        <v>806</v>
      </c>
    </row>
    <row r="241" spans="1:24" x14ac:dyDescent="0.3">
      <c r="A241" s="34" t="s">
        <v>74</v>
      </c>
      <c r="B241" s="35">
        <v>45453</v>
      </c>
      <c r="C241" s="34" t="s">
        <v>36</v>
      </c>
      <c r="D241" s="34" t="s">
        <v>41</v>
      </c>
      <c r="E241" s="36">
        <v>59</v>
      </c>
      <c r="F241" s="34" t="s">
        <v>25</v>
      </c>
      <c r="G241" s="34" t="s">
        <v>26</v>
      </c>
      <c r="H241" s="34" t="s">
        <v>46</v>
      </c>
      <c r="I241" s="34">
        <v>35</v>
      </c>
      <c r="J241" s="36">
        <v>159800</v>
      </c>
      <c r="K241" s="36">
        <v>15100</v>
      </c>
      <c r="L241" s="34">
        <v>3.4</v>
      </c>
      <c r="M241" s="36">
        <v>30</v>
      </c>
      <c r="N241" s="36">
        <v>15</v>
      </c>
      <c r="O241" s="36">
        <v>12</v>
      </c>
      <c r="P241" s="34">
        <v>2.7</v>
      </c>
      <c r="Q241" s="34" t="s">
        <v>28</v>
      </c>
      <c r="R241" s="34" t="s">
        <v>28</v>
      </c>
      <c r="S241" s="34" t="s">
        <v>60</v>
      </c>
      <c r="T241" s="35">
        <v>45968</v>
      </c>
      <c r="U241" s="34">
        <v>4</v>
      </c>
      <c r="V241" s="34">
        <v>4.0999999999999996</v>
      </c>
      <c r="W241" s="34" t="s">
        <v>407</v>
      </c>
      <c r="X241" s="34" t="s">
        <v>807</v>
      </c>
    </row>
    <row r="242" spans="1:24" x14ac:dyDescent="0.3">
      <c r="A242" s="34" t="s">
        <v>80</v>
      </c>
      <c r="B242" s="35">
        <v>45295</v>
      </c>
      <c r="C242" s="34" t="s">
        <v>40</v>
      </c>
      <c r="D242" s="34" t="s">
        <v>24</v>
      </c>
      <c r="E242" s="36">
        <v>47</v>
      </c>
      <c r="F242" s="34" t="s">
        <v>25</v>
      </c>
      <c r="G242" s="34" t="s">
        <v>26</v>
      </c>
      <c r="H242" s="34" t="s">
        <v>63</v>
      </c>
      <c r="I242" s="34">
        <v>17.5</v>
      </c>
      <c r="J242" s="36">
        <v>102000</v>
      </c>
      <c r="K242" s="36">
        <v>7300</v>
      </c>
      <c r="L242" s="34">
        <v>2.9</v>
      </c>
      <c r="M242" s="36">
        <v>9</v>
      </c>
      <c r="N242" s="36">
        <v>6</v>
      </c>
      <c r="O242" s="36">
        <v>6</v>
      </c>
      <c r="P242" s="34">
        <v>5</v>
      </c>
      <c r="Q242" s="34" t="s">
        <v>28</v>
      </c>
      <c r="R242" s="34" t="s">
        <v>28</v>
      </c>
      <c r="S242" s="34" t="s">
        <v>38</v>
      </c>
      <c r="T242" s="35">
        <v>45484</v>
      </c>
      <c r="U242" s="34">
        <v>4.4000000000000004</v>
      </c>
      <c r="V242" s="34">
        <v>4.0999999999999996</v>
      </c>
      <c r="W242" s="34" t="s">
        <v>407</v>
      </c>
      <c r="X242" s="34" t="s">
        <v>808</v>
      </c>
    </row>
    <row r="243" spans="1:24" x14ac:dyDescent="0.3">
      <c r="A243" s="34" t="s">
        <v>86</v>
      </c>
      <c r="B243" s="35">
        <v>44473</v>
      </c>
      <c r="C243" s="34" t="s">
        <v>40</v>
      </c>
      <c r="D243" s="34" t="s">
        <v>41</v>
      </c>
      <c r="E243" s="36">
        <v>46</v>
      </c>
      <c r="F243" s="34" t="s">
        <v>25</v>
      </c>
      <c r="G243" s="34" t="s">
        <v>51</v>
      </c>
      <c r="H243" s="34" t="s">
        <v>52</v>
      </c>
      <c r="I243" s="34">
        <v>25.5</v>
      </c>
      <c r="J243" s="36">
        <v>114900</v>
      </c>
      <c r="K243" s="36">
        <v>5400</v>
      </c>
      <c r="L243" s="34">
        <v>2.9</v>
      </c>
      <c r="M243" s="36">
        <v>13</v>
      </c>
      <c r="N243" s="36">
        <v>11</v>
      </c>
      <c r="O243" s="36">
        <v>21</v>
      </c>
      <c r="P243" s="34">
        <v>2.2000000000000002</v>
      </c>
      <c r="Q243" s="34" t="s">
        <v>28</v>
      </c>
      <c r="R243" s="34" t="s">
        <v>28</v>
      </c>
      <c r="S243" s="34" t="s">
        <v>60</v>
      </c>
      <c r="T243" s="35">
        <v>45814</v>
      </c>
      <c r="U243" s="34">
        <v>3.7</v>
      </c>
      <c r="V243" s="34">
        <v>3.9</v>
      </c>
      <c r="W243" s="34" t="s">
        <v>407</v>
      </c>
      <c r="X243" s="34" t="s">
        <v>809</v>
      </c>
    </row>
    <row r="244" spans="1:24" x14ac:dyDescent="0.3">
      <c r="A244" s="34" t="s">
        <v>94</v>
      </c>
      <c r="B244" s="35">
        <v>44895</v>
      </c>
      <c r="C244" s="34" t="s">
        <v>23</v>
      </c>
      <c r="D244" s="34" t="s">
        <v>41</v>
      </c>
      <c r="E244" s="36">
        <v>46</v>
      </c>
      <c r="F244" s="34" t="s">
        <v>25</v>
      </c>
      <c r="G244" s="34" t="s">
        <v>26</v>
      </c>
      <c r="H244" s="34" t="s">
        <v>63</v>
      </c>
      <c r="I244" s="34">
        <v>23.2</v>
      </c>
      <c r="J244" s="36">
        <v>117200</v>
      </c>
      <c r="K244" s="36">
        <v>4000</v>
      </c>
      <c r="L244" s="34">
        <v>3.8</v>
      </c>
      <c r="M244" s="36">
        <v>9</v>
      </c>
      <c r="N244" s="36">
        <v>9</v>
      </c>
      <c r="O244" s="36">
        <v>24</v>
      </c>
      <c r="P244" s="34">
        <v>3.2</v>
      </c>
      <c r="Q244" s="34" t="s">
        <v>28</v>
      </c>
      <c r="R244" s="34" t="s">
        <v>28</v>
      </c>
      <c r="S244" s="34" t="s">
        <v>34</v>
      </c>
      <c r="T244" s="35">
        <v>46078</v>
      </c>
      <c r="U244" s="34">
        <v>3.8</v>
      </c>
      <c r="V244" s="34">
        <v>4.0999999999999996</v>
      </c>
      <c r="W244" s="34" t="s">
        <v>407</v>
      </c>
      <c r="X244" s="34" t="s">
        <v>810</v>
      </c>
    </row>
    <row r="245" spans="1:24" x14ac:dyDescent="0.3">
      <c r="A245" s="34" t="s">
        <v>95</v>
      </c>
      <c r="B245" s="35">
        <v>45598</v>
      </c>
      <c r="C245" s="34" t="s">
        <v>54</v>
      </c>
      <c r="D245" s="34" t="s">
        <v>24</v>
      </c>
      <c r="E245" s="36">
        <v>42</v>
      </c>
      <c r="F245" s="34" t="s">
        <v>25</v>
      </c>
      <c r="G245" s="34" t="s">
        <v>51</v>
      </c>
      <c r="H245" s="34" t="s">
        <v>63</v>
      </c>
      <c r="I245" s="34">
        <v>23</v>
      </c>
      <c r="J245" s="36">
        <v>113100</v>
      </c>
      <c r="K245" s="36">
        <v>10800</v>
      </c>
      <c r="L245" s="34">
        <v>3.6</v>
      </c>
      <c r="M245" s="36">
        <v>18</v>
      </c>
      <c r="N245" s="36">
        <v>7</v>
      </c>
      <c r="O245" s="36">
        <v>21</v>
      </c>
      <c r="P245" s="34">
        <v>4.9000000000000004</v>
      </c>
      <c r="Q245" s="34" t="s">
        <v>28</v>
      </c>
      <c r="R245" s="34" t="s">
        <v>28</v>
      </c>
      <c r="S245" s="34" t="s">
        <v>43</v>
      </c>
      <c r="T245" s="35">
        <v>45916</v>
      </c>
      <c r="U245" s="34">
        <v>3.9</v>
      </c>
      <c r="V245" s="34">
        <v>4.3</v>
      </c>
      <c r="W245" s="34" t="s">
        <v>407</v>
      </c>
      <c r="X245" s="34" t="s">
        <v>811</v>
      </c>
    </row>
    <row r="246" spans="1:24" x14ac:dyDescent="0.3">
      <c r="A246" s="34" t="s">
        <v>106</v>
      </c>
      <c r="B246" s="35">
        <v>44467</v>
      </c>
      <c r="C246" s="34" t="s">
        <v>54</v>
      </c>
      <c r="D246" s="34" t="s">
        <v>41</v>
      </c>
      <c r="E246" s="36">
        <v>43</v>
      </c>
      <c r="F246" s="34" t="s">
        <v>25</v>
      </c>
      <c r="G246" s="34" t="s">
        <v>33</v>
      </c>
      <c r="H246" s="34" t="s">
        <v>37</v>
      </c>
      <c r="I246" s="34">
        <v>20</v>
      </c>
      <c r="J246" s="36">
        <v>121200</v>
      </c>
      <c r="K246" s="36">
        <v>3700</v>
      </c>
      <c r="L246" s="34">
        <v>5</v>
      </c>
      <c r="M246" s="36">
        <v>36</v>
      </c>
      <c r="N246" s="36">
        <v>8</v>
      </c>
      <c r="O246" s="36">
        <v>24</v>
      </c>
      <c r="P246" s="34">
        <v>4.8</v>
      </c>
      <c r="Q246" s="34" t="s">
        <v>28</v>
      </c>
      <c r="R246" s="34" t="s">
        <v>29</v>
      </c>
      <c r="S246" s="34" t="s">
        <v>38</v>
      </c>
      <c r="T246" s="35">
        <v>44719</v>
      </c>
      <c r="U246" s="34">
        <v>3.3</v>
      </c>
      <c r="V246" s="34">
        <v>3.4</v>
      </c>
      <c r="W246" s="34" t="s">
        <v>407</v>
      </c>
      <c r="X246" s="34" t="s">
        <v>812</v>
      </c>
    </row>
    <row r="247" spans="1:24" x14ac:dyDescent="0.3">
      <c r="A247" s="34" t="s">
        <v>107</v>
      </c>
      <c r="B247" s="35">
        <v>44220</v>
      </c>
      <c r="C247" s="34" t="s">
        <v>54</v>
      </c>
      <c r="D247" s="34" t="s">
        <v>24</v>
      </c>
      <c r="E247" s="36">
        <v>42</v>
      </c>
      <c r="F247" s="34" t="s">
        <v>25</v>
      </c>
      <c r="G247" s="34" t="s">
        <v>26</v>
      </c>
      <c r="H247" s="34" t="s">
        <v>52</v>
      </c>
      <c r="I247" s="34">
        <v>20.2</v>
      </c>
      <c r="J247" s="36">
        <v>106100</v>
      </c>
      <c r="K247" s="36">
        <v>9100</v>
      </c>
      <c r="L247" s="34">
        <v>3.4</v>
      </c>
      <c r="M247" s="36">
        <v>30</v>
      </c>
      <c r="N247" s="36">
        <v>12</v>
      </c>
      <c r="O247" s="36">
        <v>3</v>
      </c>
      <c r="P247" s="34">
        <v>3.4</v>
      </c>
      <c r="Q247" s="34" t="s">
        <v>28</v>
      </c>
      <c r="R247" s="34" t="s">
        <v>28</v>
      </c>
      <c r="S247" s="34" t="s">
        <v>43</v>
      </c>
      <c r="T247" s="35">
        <v>44572</v>
      </c>
      <c r="U247" s="34">
        <v>4.2</v>
      </c>
      <c r="V247" s="34">
        <v>4.5</v>
      </c>
      <c r="W247" s="34" t="s">
        <v>407</v>
      </c>
      <c r="X247" s="34" t="s">
        <v>813</v>
      </c>
    </row>
    <row r="248" spans="1:24" x14ac:dyDescent="0.3">
      <c r="A248" s="34" t="s">
        <v>108</v>
      </c>
      <c r="B248" s="35">
        <v>44845</v>
      </c>
      <c r="C248" s="34" t="s">
        <v>40</v>
      </c>
      <c r="D248" s="34" t="s">
        <v>24</v>
      </c>
      <c r="E248" s="36">
        <v>52</v>
      </c>
      <c r="F248" s="34" t="s">
        <v>25</v>
      </c>
      <c r="G248" s="34" t="s">
        <v>26</v>
      </c>
      <c r="H248" s="34" t="s">
        <v>55</v>
      </c>
      <c r="I248" s="34">
        <v>29</v>
      </c>
      <c r="J248" s="36">
        <v>139000</v>
      </c>
      <c r="K248" s="36">
        <v>14300</v>
      </c>
      <c r="L248" s="34">
        <v>2.4</v>
      </c>
      <c r="M248" s="36">
        <v>32</v>
      </c>
      <c r="N248" s="36">
        <v>13</v>
      </c>
      <c r="O248" s="36">
        <v>24</v>
      </c>
      <c r="P248" s="34">
        <v>3.4</v>
      </c>
      <c r="Q248" s="34" t="s">
        <v>28</v>
      </c>
      <c r="R248" s="34" t="s">
        <v>28</v>
      </c>
      <c r="S248" s="34" t="s">
        <v>30</v>
      </c>
      <c r="T248" s="35">
        <v>45846</v>
      </c>
      <c r="U248" s="34">
        <v>3.5</v>
      </c>
      <c r="V248" s="34">
        <v>3.8</v>
      </c>
      <c r="W248" s="34" t="s">
        <v>407</v>
      </c>
      <c r="X248" s="34" t="s">
        <v>814</v>
      </c>
    </row>
    <row r="249" spans="1:24" x14ac:dyDescent="0.3">
      <c r="A249" s="34" t="s">
        <v>111</v>
      </c>
      <c r="B249" s="35">
        <v>45370</v>
      </c>
      <c r="C249" s="34" t="s">
        <v>36</v>
      </c>
      <c r="D249" s="34" t="s">
        <v>24</v>
      </c>
      <c r="E249" s="36">
        <v>54</v>
      </c>
      <c r="F249" s="34" t="s">
        <v>25</v>
      </c>
      <c r="G249" s="34" t="s">
        <v>51</v>
      </c>
      <c r="H249" s="34" t="s">
        <v>52</v>
      </c>
      <c r="I249" s="34">
        <v>27.2</v>
      </c>
      <c r="J249" s="36">
        <v>131800</v>
      </c>
      <c r="K249" s="36">
        <v>9600</v>
      </c>
      <c r="L249" s="34">
        <v>4.4000000000000004</v>
      </c>
      <c r="M249" s="36">
        <v>25</v>
      </c>
      <c r="N249" s="36">
        <v>17</v>
      </c>
      <c r="O249" s="36">
        <v>1</v>
      </c>
      <c r="P249" s="34">
        <v>2.2999999999999998</v>
      </c>
      <c r="Q249" s="34" t="s">
        <v>28</v>
      </c>
      <c r="R249" s="34" t="s">
        <v>29</v>
      </c>
      <c r="S249" s="34" t="s">
        <v>60</v>
      </c>
      <c r="T249" s="35">
        <v>46020</v>
      </c>
      <c r="U249" s="34">
        <v>2.8</v>
      </c>
      <c r="V249" s="34">
        <v>3.5</v>
      </c>
      <c r="W249" s="34" t="s">
        <v>407</v>
      </c>
      <c r="X249" s="34" t="s">
        <v>815</v>
      </c>
    </row>
    <row r="250" spans="1:24" x14ac:dyDescent="0.3">
      <c r="A250" s="34" t="s">
        <v>112</v>
      </c>
      <c r="B250" s="35">
        <v>44397</v>
      </c>
      <c r="C250" s="34" t="s">
        <v>32</v>
      </c>
      <c r="D250" s="34" t="s">
        <v>41</v>
      </c>
      <c r="E250" s="36">
        <v>45</v>
      </c>
      <c r="F250" s="34" t="s">
        <v>25</v>
      </c>
      <c r="G250" s="34" t="s">
        <v>33</v>
      </c>
      <c r="H250" s="34" t="s">
        <v>46</v>
      </c>
      <c r="I250" s="34">
        <v>21.6</v>
      </c>
      <c r="J250" s="36">
        <v>127000</v>
      </c>
      <c r="K250" s="36">
        <v>11400</v>
      </c>
      <c r="L250" s="34">
        <v>3.8</v>
      </c>
      <c r="M250" s="36">
        <v>22</v>
      </c>
      <c r="N250" s="36">
        <v>8</v>
      </c>
      <c r="O250" s="36">
        <v>13</v>
      </c>
      <c r="P250" s="34">
        <v>3.8</v>
      </c>
      <c r="Q250" s="34" t="s">
        <v>28</v>
      </c>
      <c r="R250" s="34" t="s">
        <v>28</v>
      </c>
      <c r="S250" s="34" t="s">
        <v>34</v>
      </c>
      <c r="T250" s="35">
        <v>45540</v>
      </c>
      <c r="U250" s="34">
        <v>3.6</v>
      </c>
      <c r="V250" s="34">
        <v>3.6</v>
      </c>
      <c r="W250" s="34" t="s">
        <v>407</v>
      </c>
      <c r="X250" s="34" t="s">
        <v>816</v>
      </c>
    </row>
    <row r="251" spans="1:24" x14ac:dyDescent="0.3">
      <c r="A251" s="34" t="s">
        <v>115</v>
      </c>
      <c r="B251" s="35">
        <v>44918</v>
      </c>
      <c r="C251" s="34" t="s">
        <v>48</v>
      </c>
      <c r="D251" s="34" t="s">
        <v>24</v>
      </c>
      <c r="E251" s="36">
        <v>33</v>
      </c>
      <c r="F251" s="34" t="s">
        <v>25</v>
      </c>
      <c r="G251" s="34" t="s">
        <v>26</v>
      </c>
      <c r="H251" s="34" t="s">
        <v>52</v>
      </c>
      <c r="I251" s="34">
        <v>11</v>
      </c>
      <c r="J251" s="36">
        <v>75700</v>
      </c>
      <c r="K251" s="36">
        <v>3800</v>
      </c>
      <c r="L251" s="34">
        <v>3.5</v>
      </c>
      <c r="M251" s="36">
        <v>11</v>
      </c>
      <c r="N251" s="36">
        <v>13</v>
      </c>
      <c r="O251" s="36">
        <v>5</v>
      </c>
      <c r="P251" s="34">
        <v>3</v>
      </c>
      <c r="Q251" s="34" t="s">
        <v>28</v>
      </c>
      <c r="R251" s="34" t="s">
        <v>28</v>
      </c>
      <c r="S251" s="34" t="s">
        <v>60</v>
      </c>
      <c r="T251" s="35">
        <v>45506</v>
      </c>
      <c r="U251" s="34">
        <v>3.6</v>
      </c>
      <c r="V251" s="34">
        <v>3.6</v>
      </c>
      <c r="W251" s="34" t="s">
        <v>407</v>
      </c>
      <c r="X251" s="34" t="s">
        <v>817</v>
      </c>
    </row>
    <row r="252" spans="1:24" x14ac:dyDescent="0.3">
      <c r="A252" s="34" t="s">
        <v>116</v>
      </c>
      <c r="B252" s="35">
        <v>44762</v>
      </c>
      <c r="C252" s="34" t="s">
        <v>36</v>
      </c>
      <c r="D252" s="34" t="s">
        <v>24</v>
      </c>
      <c r="E252" s="36">
        <v>59</v>
      </c>
      <c r="F252" s="34" t="s">
        <v>25</v>
      </c>
      <c r="G252" s="34" t="s">
        <v>26</v>
      </c>
      <c r="H252" s="34" t="s">
        <v>37</v>
      </c>
      <c r="I252" s="34">
        <v>35</v>
      </c>
      <c r="J252" s="36">
        <v>162500</v>
      </c>
      <c r="K252" s="36">
        <v>17600</v>
      </c>
      <c r="L252" s="34">
        <v>3</v>
      </c>
      <c r="M252" s="36">
        <v>29</v>
      </c>
      <c r="N252" s="36">
        <v>15</v>
      </c>
      <c r="O252" s="36">
        <v>23</v>
      </c>
      <c r="P252" s="34">
        <v>3.7</v>
      </c>
      <c r="Q252" s="34" t="s">
        <v>28</v>
      </c>
      <c r="R252" s="34" t="s">
        <v>28</v>
      </c>
      <c r="S252" s="34" t="s">
        <v>38</v>
      </c>
      <c r="T252" s="35">
        <v>45112</v>
      </c>
      <c r="U252" s="34">
        <v>4.5999999999999996</v>
      </c>
      <c r="V252" s="34">
        <v>4.9000000000000004</v>
      </c>
      <c r="W252" s="34" t="s">
        <v>407</v>
      </c>
      <c r="X252" s="34" t="s">
        <v>818</v>
      </c>
    </row>
    <row r="253" spans="1:24" x14ac:dyDescent="0.3">
      <c r="A253" s="34" t="s">
        <v>120</v>
      </c>
      <c r="B253" s="35">
        <v>44265</v>
      </c>
      <c r="C253" s="34" t="s">
        <v>36</v>
      </c>
      <c r="D253" s="34" t="s">
        <v>24</v>
      </c>
      <c r="E253" s="36">
        <v>54</v>
      </c>
      <c r="F253" s="34" t="s">
        <v>25</v>
      </c>
      <c r="G253" s="34" t="s">
        <v>26</v>
      </c>
      <c r="H253" s="34" t="s">
        <v>52</v>
      </c>
      <c r="I253" s="34">
        <v>34.1</v>
      </c>
      <c r="J253" s="36">
        <v>158400</v>
      </c>
      <c r="K253" s="36">
        <v>13200</v>
      </c>
      <c r="L253" s="34">
        <v>3</v>
      </c>
      <c r="M253" s="36">
        <v>33</v>
      </c>
      <c r="N253" s="36">
        <v>6</v>
      </c>
      <c r="O253" s="36">
        <v>15</v>
      </c>
      <c r="P253" s="34">
        <v>3.3</v>
      </c>
      <c r="Q253" s="34" t="s">
        <v>28</v>
      </c>
      <c r="R253" s="34" t="s">
        <v>28</v>
      </c>
      <c r="S253" s="34" t="s">
        <v>34</v>
      </c>
      <c r="T253" s="35">
        <v>45326</v>
      </c>
      <c r="U253" s="34">
        <v>3.7</v>
      </c>
      <c r="V253" s="34">
        <v>4.2</v>
      </c>
      <c r="W253" s="34" t="s">
        <v>407</v>
      </c>
      <c r="X253" s="34" t="s">
        <v>819</v>
      </c>
    </row>
    <row r="254" spans="1:24" x14ac:dyDescent="0.3">
      <c r="A254" s="34" t="s">
        <v>121</v>
      </c>
      <c r="B254" s="35">
        <v>45105</v>
      </c>
      <c r="C254" s="34" t="s">
        <v>54</v>
      </c>
      <c r="D254" s="34" t="s">
        <v>41</v>
      </c>
      <c r="E254" s="36">
        <v>58</v>
      </c>
      <c r="F254" s="34" t="s">
        <v>25</v>
      </c>
      <c r="G254" s="34" t="s">
        <v>33</v>
      </c>
      <c r="H254" s="34" t="s">
        <v>37</v>
      </c>
      <c r="I254" s="34">
        <v>35</v>
      </c>
      <c r="J254" s="36">
        <v>167400</v>
      </c>
      <c r="K254" s="36">
        <v>6400</v>
      </c>
      <c r="L254" s="34">
        <v>4.5999999999999996</v>
      </c>
      <c r="M254" s="36">
        <v>14</v>
      </c>
      <c r="N254" s="36">
        <v>17</v>
      </c>
      <c r="O254" s="36">
        <v>18</v>
      </c>
      <c r="P254" s="34">
        <v>4</v>
      </c>
      <c r="Q254" s="34" t="s">
        <v>28</v>
      </c>
      <c r="R254" s="34" t="s">
        <v>29</v>
      </c>
      <c r="S254" s="34" t="s">
        <v>30</v>
      </c>
      <c r="T254" s="35">
        <v>45333</v>
      </c>
      <c r="U254" s="34">
        <v>3.5</v>
      </c>
      <c r="V254" s="34">
        <v>4.0999999999999996</v>
      </c>
      <c r="W254" s="34" t="s">
        <v>407</v>
      </c>
      <c r="X254" s="34" t="s">
        <v>820</v>
      </c>
    </row>
    <row r="255" spans="1:24" x14ac:dyDescent="0.3">
      <c r="A255" s="34" t="s">
        <v>127</v>
      </c>
      <c r="B255" s="35">
        <v>45465</v>
      </c>
      <c r="C255" s="34" t="s">
        <v>36</v>
      </c>
      <c r="D255" s="34" t="s">
        <v>24</v>
      </c>
      <c r="E255" s="36">
        <v>31</v>
      </c>
      <c r="F255" s="34" t="s">
        <v>25</v>
      </c>
      <c r="G255" s="34" t="s">
        <v>33</v>
      </c>
      <c r="H255" s="34" t="s">
        <v>52</v>
      </c>
      <c r="I255" s="34">
        <v>13.6</v>
      </c>
      <c r="J255" s="36">
        <v>98300</v>
      </c>
      <c r="K255" s="36">
        <v>8000</v>
      </c>
      <c r="L255" s="34">
        <v>4.2</v>
      </c>
      <c r="M255" s="36">
        <v>18</v>
      </c>
      <c r="N255" s="36">
        <v>17</v>
      </c>
      <c r="O255" s="36">
        <v>5</v>
      </c>
      <c r="P255" s="34">
        <v>2.4</v>
      </c>
      <c r="Q255" s="34" t="s">
        <v>28</v>
      </c>
      <c r="R255" s="34" t="s">
        <v>29</v>
      </c>
      <c r="S255" s="34" t="s">
        <v>38</v>
      </c>
      <c r="T255" s="35">
        <v>46031</v>
      </c>
      <c r="U255" s="34">
        <v>3.4</v>
      </c>
      <c r="V255" s="34">
        <v>3.6</v>
      </c>
      <c r="W255" s="34" t="s">
        <v>407</v>
      </c>
      <c r="X255" s="34" t="s">
        <v>821</v>
      </c>
    </row>
    <row r="256" spans="1:24" x14ac:dyDescent="0.3">
      <c r="A256" s="34" t="s">
        <v>130</v>
      </c>
      <c r="B256" s="35">
        <v>45862</v>
      </c>
      <c r="C256" s="34" t="s">
        <v>54</v>
      </c>
      <c r="D256" s="34" t="s">
        <v>24</v>
      </c>
      <c r="E256" s="36">
        <v>43</v>
      </c>
      <c r="F256" s="34" t="s">
        <v>25</v>
      </c>
      <c r="G256" s="34" t="s">
        <v>51</v>
      </c>
      <c r="H256" s="34" t="s">
        <v>52</v>
      </c>
      <c r="I256" s="34">
        <v>22.7</v>
      </c>
      <c r="J256" s="36">
        <v>110900</v>
      </c>
      <c r="K256" s="36">
        <v>3300</v>
      </c>
      <c r="L256" s="34">
        <v>4.3</v>
      </c>
      <c r="M256" s="36">
        <v>20</v>
      </c>
      <c r="N256" s="36">
        <v>6</v>
      </c>
      <c r="O256" s="36">
        <v>12</v>
      </c>
      <c r="P256" s="34">
        <v>3</v>
      </c>
      <c r="Q256" s="34" t="s">
        <v>28</v>
      </c>
      <c r="R256" s="34" t="s">
        <v>29</v>
      </c>
      <c r="S256" s="34" t="s">
        <v>43</v>
      </c>
      <c r="T256" s="35">
        <v>46072</v>
      </c>
      <c r="U256" s="34">
        <v>3.2</v>
      </c>
      <c r="V256" s="34">
        <v>3.9</v>
      </c>
      <c r="W256" s="34" t="s">
        <v>407</v>
      </c>
      <c r="X256" s="34" t="s">
        <v>822</v>
      </c>
    </row>
    <row r="257" spans="1:24" x14ac:dyDescent="0.3">
      <c r="A257" s="34" t="s">
        <v>131</v>
      </c>
      <c r="B257" s="35">
        <v>44982</v>
      </c>
      <c r="C257" s="34" t="s">
        <v>54</v>
      </c>
      <c r="D257" s="34" t="s">
        <v>24</v>
      </c>
      <c r="E257" s="36">
        <v>35</v>
      </c>
      <c r="F257" s="34" t="s">
        <v>25</v>
      </c>
      <c r="G257" s="34" t="s">
        <v>26</v>
      </c>
      <c r="H257" s="34" t="s">
        <v>63</v>
      </c>
      <c r="I257" s="34">
        <v>9.9</v>
      </c>
      <c r="J257" s="36">
        <v>60300</v>
      </c>
      <c r="K257" s="36">
        <v>4700</v>
      </c>
      <c r="L257" s="34">
        <v>2.2000000000000002</v>
      </c>
      <c r="M257" s="36">
        <v>17</v>
      </c>
      <c r="N257" s="36">
        <v>11</v>
      </c>
      <c r="O257" s="36">
        <v>26</v>
      </c>
      <c r="P257" s="34">
        <v>3.8</v>
      </c>
      <c r="Q257" s="34" t="s">
        <v>28</v>
      </c>
      <c r="R257" s="34" t="s">
        <v>28</v>
      </c>
      <c r="S257" s="34" t="s">
        <v>30</v>
      </c>
      <c r="T257" s="35">
        <v>46117</v>
      </c>
      <c r="U257" s="34">
        <v>4</v>
      </c>
      <c r="V257" s="34">
        <v>3.9</v>
      </c>
      <c r="W257" s="34" t="s">
        <v>407</v>
      </c>
      <c r="X257" s="34" t="s">
        <v>823</v>
      </c>
    </row>
    <row r="258" spans="1:24" x14ac:dyDescent="0.3">
      <c r="A258" s="34" t="s">
        <v>133</v>
      </c>
      <c r="B258" s="35">
        <v>44889</v>
      </c>
      <c r="C258" s="34" t="s">
        <v>23</v>
      </c>
      <c r="D258" s="34" t="s">
        <v>24</v>
      </c>
      <c r="E258" s="36">
        <v>49</v>
      </c>
      <c r="F258" s="34" t="s">
        <v>25</v>
      </c>
      <c r="G258" s="34" t="s">
        <v>33</v>
      </c>
      <c r="H258" s="34" t="s">
        <v>63</v>
      </c>
      <c r="I258" s="34">
        <v>26</v>
      </c>
      <c r="J258" s="36">
        <v>139200</v>
      </c>
      <c r="K258" s="36">
        <v>16000</v>
      </c>
      <c r="L258" s="34">
        <v>3.1</v>
      </c>
      <c r="M258" s="36">
        <v>14</v>
      </c>
      <c r="N258" s="36">
        <v>6</v>
      </c>
      <c r="O258" s="36">
        <v>14</v>
      </c>
      <c r="P258" s="34">
        <v>2.4</v>
      </c>
      <c r="Q258" s="34" t="s">
        <v>28</v>
      </c>
      <c r="R258" s="34" t="s">
        <v>28</v>
      </c>
      <c r="S258" s="34" t="s">
        <v>60</v>
      </c>
      <c r="T258" s="35">
        <v>45571</v>
      </c>
      <c r="U258" s="34">
        <v>3</v>
      </c>
      <c r="V258" s="34">
        <v>3.3</v>
      </c>
      <c r="W258" s="34" t="s">
        <v>407</v>
      </c>
      <c r="X258" s="34" t="s">
        <v>824</v>
      </c>
    </row>
    <row r="259" spans="1:24" x14ac:dyDescent="0.3">
      <c r="A259" s="34" t="s">
        <v>135</v>
      </c>
      <c r="B259" s="35">
        <v>44242</v>
      </c>
      <c r="C259" s="34" t="s">
        <v>40</v>
      </c>
      <c r="D259" s="34" t="s">
        <v>41</v>
      </c>
      <c r="E259" s="36">
        <v>54</v>
      </c>
      <c r="F259" s="34" t="s">
        <v>25</v>
      </c>
      <c r="G259" s="34" t="s">
        <v>26</v>
      </c>
      <c r="H259" s="34" t="s">
        <v>27</v>
      </c>
      <c r="I259" s="34">
        <v>32.299999999999997</v>
      </c>
      <c r="J259" s="36">
        <v>156500</v>
      </c>
      <c r="K259" s="36">
        <v>17900</v>
      </c>
      <c r="L259" s="34">
        <v>2.8</v>
      </c>
      <c r="M259" s="36">
        <v>22</v>
      </c>
      <c r="N259" s="36">
        <v>9</v>
      </c>
      <c r="O259" s="36">
        <v>23</v>
      </c>
      <c r="P259" s="34">
        <v>3.9</v>
      </c>
      <c r="Q259" s="34" t="s">
        <v>28</v>
      </c>
      <c r="R259" s="34" t="s">
        <v>28</v>
      </c>
      <c r="S259" s="34" t="s">
        <v>60</v>
      </c>
      <c r="T259" s="35">
        <v>44621</v>
      </c>
      <c r="U259" s="34">
        <v>3</v>
      </c>
      <c r="V259" s="34">
        <v>3.3</v>
      </c>
      <c r="W259" s="34" t="s">
        <v>407</v>
      </c>
      <c r="X259" s="34" t="s">
        <v>825</v>
      </c>
    </row>
    <row r="260" spans="1:24" x14ac:dyDescent="0.3">
      <c r="A260" s="34" t="s">
        <v>143</v>
      </c>
      <c r="B260" s="35">
        <v>44758</v>
      </c>
      <c r="C260" s="34" t="s">
        <v>54</v>
      </c>
      <c r="D260" s="34" t="s">
        <v>41</v>
      </c>
      <c r="E260" s="36">
        <v>50</v>
      </c>
      <c r="F260" s="34" t="s">
        <v>25</v>
      </c>
      <c r="G260" s="34" t="s">
        <v>42</v>
      </c>
      <c r="H260" s="34" t="s">
        <v>52</v>
      </c>
      <c r="I260" s="34">
        <v>25.1</v>
      </c>
      <c r="J260" s="36">
        <v>156400</v>
      </c>
      <c r="K260" s="36">
        <v>5800</v>
      </c>
      <c r="L260" s="34">
        <v>2.9</v>
      </c>
      <c r="M260" s="36">
        <v>39</v>
      </c>
      <c r="N260" s="36">
        <v>8</v>
      </c>
      <c r="O260" s="36">
        <v>23</v>
      </c>
      <c r="P260" s="34">
        <v>3.5</v>
      </c>
      <c r="Q260" s="34" t="s">
        <v>28</v>
      </c>
      <c r="R260" s="34" t="s">
        <v>28</v>
      </c>
      <c r="S260" s="34" t="s">
        <v>43</v>
      </c>
      <c r="T260" s="35">
        <v>46062</v>
      </c>
      <c r="U260" s="34">
        <v>3.3</v>
      </c>
      <c r="V260" s="34">
        <v>4.0999999999999996</v>
      </c>
      <c r="W260" s="34" t="s">
        <v>407</v>
      </c>
      <c r="X260" s="34" t="s">
        <v>826</v>
      </c>
    </row>
    <row r="261" spans="1:24" x14ac:dyDescent="0.3">
      <c r="A261" s="34" t="s">
        <v>167</v>
      </c>
      <c r="B261" s="35">
        <v>44619</v>
      </c>
      <c r="C261" s="34" t="s">
        <v>23</v>
      </c>
      <c r="D261" s="34" t="s">
        <v>24</v>
      </c>
      <c r="E261" s="36">
        <v>39</v>
      </c>
      <c r="F261" s="34" t="s">
        <v>25</v>
      </c>
      <c r="G261" s="34" t="s">
        <v>51</v>
      </c>
      <c r="H261" s="34" t="s">
        <v>55</v>
      </c>
      <c r="I261" s="34">
        <v>15.2</v>
      </c>
      <c r="J261" s="36">
        <v>87000</v>
      </c>
      <c r="K261" s="36">
        <v>8500</v>
      </c>
      <c r="L261" s="34">
        <v>2.9</v>
      </c>
      <c r="M261" s="36">
        <v>31</v>
      </c>
      <c r="N261" s="36">
        <v>15</v>
      </c>
      <c r="O261" s="36">
        <v>29</v>
      </c>
      <c r="P261" s="34">
        <v>4.0999999999999996</v>
      </c>
      <c r="Q261" s="34" t="s">
        <v>28</v>
      </c>
      <c r="R261" s="34" t="s">
        <v>28</v>
      </c>
      <c r="S261" s="34" t="s">
        <v>43</v>
      </c>
      <c r="T261" s="35">
        <v>45139</v>
      </c>
      <c r="U261" s="34">
        <v>3.8</v>
      </c>
      <c r="V261" s="34">
        <v>3.9</v>
      </c>
      <c r="W261" s="34" t="s">
        <v>407</v>
      </c>
      <c r="X261" s="34" t="s">
        <v>827</v>
      </c>
    </row>
    <row r="262" spans="1:24" x14ac:dyDescent="0.3">
      <c r="A262" s="34" t="s">
        <v>171</v>
      </c>
      <c r="B262" s="35">
        <v>44802</v>
      </c>
      <c r="C262" s="34" t="s">
        <v>23</v>
      </c>
      <c r="D262" s="34" t="s">
        <v>24</v>
      </c>
      <c r="E262" s="36">
        <v>52</v>
      </c>
      <c r="F262" s="34" t="s">
        <v>25</v>
      </c>
      <c r="G262" s="34" t="s">
        <v>33</v>
      </c>
      <c r="H262" s="34" t="s">
        <v>46</v>
      </c>
      <c r="I262" s="34">
        <v>22.8</v>
      </c>
      <c r="J262" s="36">
        <v>120100</v>
      </c>
      <c r="K262" s="36">
        <v>9900</v>
      </c>
      <c r="L262" s="34">
        <v>2.9</v>
      </c>
      <c r="M262" s="36">
        <v>29</v>
      </c>
      <c r="N262" s="36">
        <v>10</v>
      </c>
      <c r="O262" s="36">
        <v>15</v>
      </c>
      <c r="P262" s="34">
        <v>3</v>
      </c>
      <c r="Q262" s="34" t="s">
        <v>28</v>
      </c>
      <c r="R262" s="34" t="s">
        <v>28</v>
      </c>
      <c r="S262" s="34" t="s">
        <v>34</v>
      </c>
      <c r="T262" s="35">
        <v>45250</v>
      </c>
      <c r="U262" s="34">
        <v>4.2</v>
      </c>
      <c r="V262" s="34">
        <v>4.3</v>
      </c>
      <c r="W262" s="34" t="s">
        <v>407</v>
      </c>
      <c r="X262" s="34" t="s">
        <v>828</v>
      </c>
    </row>
    <row r="263" spans="1:24" x14ac:dyDescent="0.3">
      <c r="A263" s="34" t="s">
        <v>176</v>
      </c>
      <c r="B263" s="35">
        <v>44255</v>
      </c>
      <c r="C263" s="34" t="s">
        <v>40</v>
      </c>
      <c r="D263" s="34" t="s">
        <v>41</v>
      </c>
      <c r="E263" s="36">
        <v>53</v>
      </c>
      <c r="F263" s="34" t="s">
        <v>25</v>
      </c>
      <c r="G263" s="34" t="s">
        <v>26</v>
      </c>
      <c r="H263" s="34" t="s">
        <v>55</v>
      </c>
      <c r="I263" s="34">
        <v>30.6</v>
      </c>
      <c r="J263" s="36">
        <v>142000</v>
      </c>
      <c r="K263" s="36">
        <v>8500</v>
      </c>
      <c r="L263" s="34">
        <v>3.3</v>
      </c>
      <c r="M263" s="36">
        <v>34</v>
      </c>
      <c r="N263" s="36">
        <v>14</v>
      </c>
      <c r="O263" s="36">
        <v>3</v>
      </c>
      <c r="P263" s="34">
        <v>3.1</v>
      </c>
      <c r="Q263" s="34" t="s">
        <v>28</v>
      </c>
      <c r="R263" s="34" t="s">
        <v>28</v>
      </c>
      <c r="S263" s="34" t="s">
        <v>34</v>
      </c>
      <c r="T263" s="35">
        <v>45336</v>
      </c>
      <c r="U263" s="34">
        <v>3.6</v>
      </c>
      <c r="V263" s="34">
        <v>4.4000000000000004</v>
      </c>
      <c r="W263" s="34" t="s">
        <v>407</v>
      </c>
      <c r="X263" s="34" t="s">
        <v>829</v>
      </c>
    </row>
    <row r="264" spans="1:24" x14ac:dyDescent="0.3">
      <c r="A264" s="34" t="s">
        <v>179</v>
      </c>
      <c r="B264" s="35">
        <v>44218</v>
      </c>
      <c r="C264" s="34" t="s">
        <v>32</v>
      </c>
      <c r="D264" s="34" t="s">
        <v>24</v>
      </c>
      <c r="E264" s="36">
        <v>45</v>
      </c>
      <c r="F264" s="34" t="s">
        <v>25</v>
      </c>
      <c r="G264" s="34" t="s">
        <v>33</v>
      </c>
      <c r="H264" s="34" t="s">
        <v>52</v>
      </c>
      <c r="I264" s="34">
        <v>18.100000000000001</v>
      </c>
      <c r="J264" s="36">
        <v>110700</v>
      </c>
      <c r="K264" s="36">
        <v>12500</v>
      </c>
      <c r="L264" s="34">
        <v>4.0999999999999996</v>
      </c>
      <c r="M264" s="36">
        <v>26</v>
      </c>
      <c r="N264" s="36">
        <v>10</v>
      </c>
      <c r="O264" s="36">
        <v>12</v>
      </c>
      <c r="P264" s="34">
        <v>2.9</v>
      </c>
      <c r="Q264" s="34" t="s">
        <v>28</v>
      </c>
      <c r="R264" s="34" t="s">
        <v>29</v>
      </c>
      <c r="S264" s="34" t="s">
        <v>30</v>
      </c>
      <c r="T264" s="35">
        <v>44860</v>
      </c>
      <c r="U264" s="34">
        <v>3.6</v>
      </c>
      <c r="V264" s="34">
        <v>4.3</v>
      </c>
      <c r="W264" s="34" t="s">
        <v>407</v>
      </c>
      <c r="X264" s="34" t="s">
        <v>830</v>
      </c>
    </row>
    <row r="265" spans="1:24" x14ac:dyDescent="0.3">
      <c r="A265" s="34" t="s">
        <v>181</v>
      </c>
      <c r="B265" s="35">
        <v>44239</v>
      </c>
      <c r="C265" s="34" t="s">
        <v>36</v>
      </c>
      <c r="D265" s="34" t="s">
        <v>41</v>
      </c>
      <c r="E265" s="36">
        <v>56</v>
      </c>
      <c r="F265" s="34" t="s">
        <v>25</v>
      </c>
      <c r="G265" s="34" t="s">
        <v>26</v>
      </c>
      <c r="H265" s="34" t="s">
        <v>46</v>
      </c>
      <c r="I265" s="34">
        <v>35</v>
      </c>
      <c r="J265" s="36">
        <v>152000</v>
      </c>
      <c r="K265" s="36">
        <v>3400</v>
      </c>
      <c r="L265" s="34">
        <v>3.8</v>
      </c>
      <c r="M265" s="36">
        <v>37</v>
      </c>
      <c r="N265" s="36">
        <v>12</v>
      </c>
      <c r="O265" s="36">
        <v>0</v>
      </c>
      <c r="P265" s="34">
        <v>2.8</v>
      </c>
      <c r="Q265" s="34" t="s">
        <v>28</v>
      </c>
      <c r="R265" s="34" t="s">
        <v>28</v>
      </c>
      <c r="S265" s="34" t="s">
        <v>38</v>
      </c>
      <c r="T265" s="35">
        <v>45392</v>
      </c>
      <c r="U265" s="34">
        <v>4.4000000000000004</v>
      </c>
      <c r="V265" s="34">
        <v>4.9000000000000004</v>
      </c>
      <c r="W265" s="34" t="s">
        <v>407</v>
      </c>
      <c r="X265" s="34" t="s">
        <v>831</v>
      </c>
    </row>
    <row r="266" spans="1:24" x14ac:dyDescent="0.3">
      <c r="A266" s="34" t="s">
        <v>185</v>
      </c>
      <c r="B266" s="35">
        <v>44866</v>
      </c>
      <c r="C266" s="34" t="s">
        <v>32</v>
      </c>
      <c r="D266" s="34" t="s">
        <v>41</v>
      </c>
      <c r="E266" s="36">
        <v>38</v>
      </c>
      <c r="F266" s="34" t="s">
        <v>25</v>
      </c>
      <c r="G266" s="34" t="s">
        <v>51</v>
      </c>
      <c r="H266" s="34" t="s">
        <v>52</v>
      </c>
      <c r="I266" s="34">
        <v>19</v>
      </c>
      <c r="J266" s="36">
        <v>101200</v>
      </c>
      <c r="K266" s="36">
        <v>10600</v>
      </c>
      <c r="L266" s="34">
        <v>3.5</v>
      </c>
      <c r="M266" s="36">
        <v>9</v>
      </c>
      <c r="N266" s="36">
        <v>11</v>
      </c>
      <c r="O266" s="36">
        <v>10</v>
      </c>
      <c r="P266" s="34">
        <v>3</v>
      </c>
      <c r="Q266" s="34" t="s">
        <v>28</v>
      </c>
      <c r="R266" s="34" t="s">
        <v>28</v>
      </c>
      <c r="S266" s="34" t="s">
        <v>60</v>
      </c>
      <c r="T266" s="35">
        <v>45528</v>
      </c>
      <c r="U266" s="34">
        <v>3.5</v>
      </c>
      <c r="V266" s="34">
        <v>3.8</v>
      </c>
      <c r="W266" s="34" t="s">
        <v>407</v>
      </c>
      <c r="X266" s="34" t="s">
        <v>832</v>
      </c>
    </row>
    <row r="267" spans="1:24" x14ac:dyDescent="0.3">
      <c r="A267" s="34" t="s">
        <v>186</v>
      </c>
      <c r="B267" s="35">
        <v>45727</v>
      </c>
      <c r="C267" s="34" t="s">
        <v>54</v>
      </c>
      <c r="D267" s="34" t="s">
        <v>41</v>
      </c>
      <c r="E267" s="36">
        <v>29</v>
      </c>
      <c r="F267" s="34" t="s">
        <v>25</v>
      </c>
      <c r="G267" s="34" t="s">
        <v>51</v>
      </c>
      <c r="H267" s="34" t="s">
        <v>37</v>
      </c>
      <c r="I267" s="34">
        <v>7.2</v>
      </c>
      <c r="J267" s="36">
        <v>54700</v>
      </c>
      <c r="K267" s="36">
        <v>1300</v>
      </c>
      <c r="L267" s="34">
        <v>3.3</v>
      </c>
      <c r="M267" s="36">
        <v>12</v>
      </c>
      <c r="N267" s="36">
        <v>4</v>
      </c>
      <c r="O267" s="36">
        <v>14</v>
      </c>
      <c r="P267" s="34">
        <v>3.7</v>
      </c>
      <c r="Q267" s="34" t="s">
        <v>28</v>
      </c>
      <c r="R267" s="34" t="s">
        <v>28</v>
      </c>
      <c r="S267" s="34" t="s">
        <v>30</v>
      </c>
      <c r="T267" s="35">
        <v>46170</v>
      </c>
      <c r="U267" s="34">
        <v>3.4</v>
      </c>
      <c r="V267" s="34">
        <v>3.9</v>
      </c>
      <c r="W267" s="34" t="s">
        <v>407</v>
      </c>
      <c r="X267" s="34" t="s">
        <v>833</v>
      </c>
    </row>
    <row r="268" spans="1:24" x14ac:dyDescent="0.3">
      <c r="A268" s="34" t="s">
        <v>202</v>
      </c>
      <c r="B268" s="35">
        <v>44472</v>
      </c>
      <c r="C268" s="34" t="s">
        <v>40</v>
      </c>
      <c r="D268" s="34" t="s">
        <v>24</v>
      </c>
      <c r="E268" s="36">
        <v>50</v>
      </c>
      <c r="F268" s="34" t="s">
        <v>25</v>
      </c>
      <c r="G268" s="34" t="s">
        <v>33</v>
      </c>
      <c r="H268" s="34" t="s">
        <v>46</v>
      </c>
      <c r="I268" s="34">
        <v>30.7</v>
      </c>
      <c r="J268" s="36">
        <v>161500</v>
      </c>
      <c r="K268" s="36">
        <v>13500</v>
      </c>
      <c r="L268" s="34">
        <v>3.9</v>
      </c>
      <c r="M268" s="36">
        <v>30</v>
      </c>
      <c r="N268" s="36">
        <v>12</v>
      </c>
      <c r="O268" s="36">
        <v>20</v>
      </c>
      <c r="P268" s="34">
        <v>3</v>
      </c>
      <c r="Q268" s="34" t="s">
        <v>28</v>
      </c>
      <c r="R268" s="34" t="s">
        <v>28</v>
      </c>
      <c r="S268" s="34" t="s">
        <v>30</v>
      </c>
      <c r="T268" s="35">
        <v>45967</v>
      </c>
      <c r="U268" s="34">
        <v>3</v>
      </c>
      <c r="V268" s="34">
        <v>3.4</v>
      </c>
      <c r="W268" s="34" t="s">
        <v>407</v>
      </c>
      <c r="X268" s="34" t="s">
        <v>834</v>
      </c>
    </row>
    <row r="269" spans="1:24" x14ac:dyDescent="0.3">
      <c r="A269" s="34" t="s">
        <v>205</v>
      </c>
      <c r="B269" s="35">
        <v>44675</v>
      </c>
      <c r="C269" s="34" t="s">
        <v>54</v>
      </c>
      <c r="D269" s="34" t="s">
        <v>41</v>
      </c>
      <c r="E269" s="36">
        <v>56</v>
      </c>
      <c r="F269" s="34" t="s">
        <v>25</v>
      </c>
      <c r="G269" s="34" t="s">
        <v>26</v>
      </c>
      <c r="H269" s="34" t="s">
        <v>55</v>
      </c>
      <c r="I269" s="34">
        <v>33.9</v>
      </c>
      <c r="J269" s="36">
        <v>149400</v>
      </c>
      <c r="K269" s="36">
        <v>9000</v>
      </c>
      <c r="L269" s="34">
        <v>4.4000000000000004</v>
      </c>
      <c r="M269" s="36">
        <v>16</v>
      </c>
      <c r="N269" s="36">
        <v>7</v>
      </c>
      <c r="O269" s="36">
        <v>19</v>
      </c>
      <c r="P269" s="34">
        <v>5</v>
      </c>
      <c r="Q269" s="34" t="s">
        <v>28</v>
      </c>
      <c r="R269" s="34" t="s">
        <v>29</v>
      </c>
      <c r="S269" s="34" t="s">
        <v>34</v>
      </c>
      <c r="T269" s="35">
        <v>45349</v>
      </c>
      <c r="U269" s="34">
        <v>3.1</v>
      </c>
      <c r="V269" s="34">
        <v>3.4</v>
      </c>
      <c r="W269" s="34" t="s">
        <v>407</v>
      </c>
      <c r="X269" s="34" t="s">
        <v>835</v>
      </c>
    </row>
    <row r="270" spans="1:24" x14ac:dyDescent="0.3">
      <c r="A270" s="34" t="s">
        <v>209</v>
      </c>
      <c r="B270" s="35">
        <v>44237</v>
      </c>
      <c r="C270" s="34" t="s">
        <v>54</v>
      </c>
      <c r="D270" s="34" t="s">
        <v>24</v>
      </c>
      <c r="E270" s="36">
        <v>44</v>
      </c>
      <c r="F270" s="34" t="s">
        <v>25</v>
      </c>
      <c r="G270" s="34" t="s">
        <v>26</v>
      </c>
      <c r="H270" s="34" t="s">
        <v>37</v>
      </c>
      <c r="I270" s="34">
        <v>21.2</v>
      </c>
      <c r="J270" s="36">
        <v>114200</v>
      </c>
      <c r="K270" s="36">
        <v>11600</v>
      </c>
      <c r="L270" s="34">
        <v>2.4</v>
      </c>
      <c r="M270" s="36">
        <v>23</v>
      </c>
      <c r="N270" s="36">
        <v>3</v>
      </c>
      <c r="O270" s="36">
        <v>21</v>
      </c>
      <c r="P270" s="34">
        <v>2.9</v>
      </c>
      <c r="Q270" s="34" t="s">
        <v>28</v>
      </c>
      <c r="R270" s="34" t="s">
        <v>28</v>
      </c>
      <c r="S270" s="34" t="s">
        <v>34</v>
      </c>
      <c r="T270" s="35">
        <v>45054</v>
      </c>
      <c r="U270" s="34">
        <v>2.8</v>
      </c>
      <c r="V270" s="34">
        <v>3.5</v>
      </c>
      <c r="W270" s="34" t="s">
        <v>407</v>
      </c>
      <c r="X270" s="34" t="s">
        <v>836</v>
      </c>
    </row>
    <row r="271" spans="1:24" x14ac:dyDescent="0.3">
      <c r="A271" s="34" t="s">
        <v>217</v>
      </c>
      <c r="B271" s="35">
        <v>44918</v>
      </c>
      <c r="C271" s="34" t="s">
        <v>36</v>
      </c>
      <c r="D271" s="34" t="s">
        <v>24</v>
      </c>
      <c r="E271" s="36">
        <v>41</v>
      </c>
      <c r="F271" s="34" t="s">
        <v>25</v>
      </c>
      <c r="G271" s="34" t="s">
        <v>42</v>
      </c>
      <c r="H271" s="34" t="s">
        <v>27</v>
      </c>
      <c r="I271" s="34">
        <v>14.5</v>
      </c>
      <c r="J271" s="36">
        <v>111000</v>
      </c>
      <c r="K271" s="36">
        <v>13200</v>
      </c>
      <c r="L271" s="34">
        <v>4.0999999999999996</v>
      </c>
      <c r="M271" s="36">
        <v>29</v>
      </c>
      <c r="N271" s="36">
        <v>11</v>
      </c>
      <c r="O271" s="36">
        <v>19</v>
      </c>
      <c r="P271" s="34">
        <v>3.6</v>
      </c>
      <c r="Q271" s="34" t="s">
        <v>28</v>
      </c>
      <c r="R271" s="34" t="s">
        <v>29</v>
      </c>
      <c r="S271" s="34" t="s">
        <v>38</v>
      </c>
      <c r="T271" s="35">
        <v>46030</v>
      </c>
      <c r="U271" s="34">
        <v>4.8</v>
      </c>
      <c r="V271" s="34">
        <v>5</v>
      </c>
      <c r="W271" s="34" t="s">
        <v>407</v>
      </c>
      <c r="X271" s="34" t="s">
        <v>837</v>
      </c>
    </row>
    <row r="272" spans="1:24" x14ac:dyDescent="0.3">
      <c r="A272" s="34" t="s">
        <v>219</v>
      </c>
      <c r="B272" s="35">
        <v>44323</v>
      </c>
      <c r="C272" s="34" t="s">
        <v>36</v>
      </c>
      <c r="D272" s="34" t="s">
        <v>41</v>
      </c>
      <c r="E272" s="36">
        <v>55</v>
      </c>
      <c r="F272" s="34" t="s">
        <v>25</v>
      </c>
      <c r="G272" s="34" t="s">
        <v>26</v>
      </c>
      <c r="H272" s="34" t="s">
        <v>37</v>
      </c>
      <c r="I272" s="34">
        <v>28.9</v>
      </c>
      <c r="J272" s="36">
        <v>131500</v>
      </c>
      <c r="K272" s="36">
        <v>6600</v>
      </c>
      <c r="L272" s="34">
        <v>3.1</v>
      </c>
      <c r="M272" s="36">
        <v>18</v>
      </c>
      <c r="N272" s="36">
        <v>15</v>
      </c>
      <c r="O272" s="36">
        <v>0</v>
      </c>
      <c r="P272" s="34">
        <v>3.4</v>
      </c>
      <c r="Q272" s="34" t="s">
        <v>28</v>
      </c>
      <c r="R272" s="34" t="s">
        <v>28</v>
      </c>
      <c r="S272" s="34" t="s">
        <v>43</v>
      </c>
      <c r="T272" s="35">
        <v>44996</v>
      </c>
      <c r="U272" s="34">
        <v>3.4</v>
      </c>
      <c r="V272" s="34">
        <v>3.9</v>
      </c>
      <c r="W272" s="34" t="s">
        <v>407</v>
      </c>
      <c r="X272" s="34" t="s">
        <v>838</v>
      </c>
    </row>
    <row r="273" spans="1:24" x14ac:dyDescent="0.3">
      <c r="A273" s="34" t="s">
        <v>221</v>
      </c>
      <c r="B273" s="35">
        <v>45133</v>
      </c>
      <c r="C273" s="34" t="s">
        <v>48</v>
      </c>
      <c r="D273" s="34" t="s">
        <v>24</v>
      </c>
      <c r="E273" s="36">
        <v>50</v>
      </c>
      <c r="F273" s="34" t="s">
        <v>25</v>
      </c>
      <c r="G273" s="34" t="s">
        <v>51</v>
      </c>
      <c r="H273" s="34" t="s">
        <v>37</v>
      </c>
      <c r="I273" s="34">
        <v>26.1</v>
      </c>
      <c r="J273" s="36">
        <v>117200</v>
      </c>
      <c r="K273" s="36">
        <v>3100</v>
      </c>
      <c r="L273" s="34">
        <v>3</v>
      </c>
      <c r="M273" s="36">
        <v>38</v>
      </c>
      <c r="N273" s="36">
        <v>14</v>
      </c>
      <c r="O273" s="36">
        <v>16</v>
      </c>
      <c r="P273" s="34">
        <v>3.9</v>
      </c>
      <c r="Q273" s="34" t="s">
        <v>28</v>
      </c>
      <c r="R273" s="34" t="s">
        <v>28</v>
      </c>
      <c r="S273" s="34" t="s">
        <v>38</v>
      </c>
      <c r="T273" s="35">
        <v>45396</v>
      </c>
      <c r="U273" s="34">
        <v>3.7</v>
      </c>
      <c r="V273" s="34">
        <v>4.4000000000000004</v>
      </c>
      <c r="W273" s="34" t="s">
        <v>407</v>
      </c>
      <c r="X273" s="34" t="s">
        <v>839</v>
      </c>
    </row>
    <row r="274" spans="1:24" x14ac:dyDescent="0.3">
      <c r="A274" s="34" t="s">
        <v>229</v>
      </c>
      <c r="B274" s="35">
        <v>44563</v>
      </c>
      <c r="C274" s="34" t="s">
        <v>54</v>
      </c>
      <c r="D274" s="34" t="s">
        <v>24</v>
      </c>
      <c r="E274" s="36">
        <v>43</v>
      </c>
      <c r="F274" s="34" t="s">
        <v>25</v>
      </c>
      <c r="G274" s="34" t="s">
        <v>33</v>
      </c>
      <c r="H274" s="34" t="s">
        <v>27</v>
      </c>
      <c r="I274" s="34">
        <v>21.9</v>
      </c>
      <c r="J274" s="36">
        <v>117700</v>
      </c>
      <c r="K274" s="36">
        <v>7800</v>
      </c>
      <c r="L274" s="34">
        <v>3.3</v>
      </c>
      <c r="M274" s="36">
        <v>12</v>
      </c>
      <c r="N274" s="36">
        <v>12</v>
      </c>
      <c r="O274" s="36">
        <v>2</v>
      </c>
      <c r="P274" s="34">
        <v>4.7</v>
      </c>
      <c r="Q274" s="34" t="s">
        <v>28</v>
      </c>
      <c r="R274" s="34" t="s">
        <v>28</v>
      </c>
      <c r="S274" s="34" t="s">
        <v>38</v>
      </c>
      <c r="T274" s="35">
        <v>46019</v>
      </c>
      <c r="U274" s="34">
        <v>3.3</v>
      </c>
      <c r="V274" s="34">
        <v>3.8</v>
      </c>
      <c r="W274" s="34" t="s">
        <v>407</v>
      </c>
      <c r="X274" s="34" t="s">
        <v>840</v>
      </c>
    </row>
    <row r="275" spans="1:24" x14ac:dyDescent="0.3">
      <c r="A275" s="34" t="s">
        <v>231</v>
      </c>
      <c r="B275" s="35">
        <v>45003</v>
      </c>
      <c r="C275" s="34" t="s">
        <v>23</v>
      </c>
      <c r="D275" s="34" t="s">
        <v>24</v>
      </c>
      <c r="E275" s="36">
        <v>44</v>
      </c>
      <c r="F275" s="34" t="s">
        <v>25</v>
      </c>
      <c r="G275" s="34" t="s">
        <v>51</v>
      </c>
      <c r="H275" s="34" t="s">
        <v>55</v>
      </c>
      <c r="I275" s="34">
        <v>21.9</v>
      </c>
      <c r="J275" s="36">
        <v>107300</v>
      </c>
      <c r="K275" s="36">
        <v>8700</v>
      </c>
      <c r="L275" s="34">
        <v>3.3</v>
      </c>
      <c r="M275" s="36">
        <v>29</v>
      </c>
      <c r="N275" s="36">
        <v>10</v>
      </c>
      <c r="O275" s="36">
        <v>2</v>
      </c>
      <c r="P275" s="34">
        <v>4.3</v>
      </c>
      <c r="Q275" s="34" t="s">
        <v>28</v>
      </c>
      <c r="R275" s="34" t="s">
        <v>28</v>
      </c>
      <c r="S275" s="34" t="s">
        <v>43</v>
      </c>
      <c r="T275" s="35">
        <v>45588</v>
      </c>
      <c r="U275" s="34">
        <v>2.2000000000000002</v>
      </c>
      <c r="V275" s="34">
        <v>2</v>
      </c>
      <c r="W275" s="34" t="s">
        <v>407</v>
      </c>
      <c r="X275" s="34" t="s">
        <v>841</v>
      </c>
    </row>
    <row r="276" spans="1:24" x14ac:dyDescent="0.3">
      <c r="A276" s="34" t="s">
        <v>232</v>
      </c>
      <c r="B276" s="35">
        <v>45315</v>
      </c>
      <c r="C276" s="34" t="s">
        <v>32</v>
      </c>
      <c r="D276" s="34" t="s">
        <v>41</v>
      </c>
      <c r="E276" s="36">
        <v>54</v>
      </c>
      <c r="F276" s="34" t="s">
        <v>25</v>
      </c>
      <c r="G276" s="34" t="s">
        <v>26</v>
      </c>
      <c r="H276" s="34" t="s">
        <v>63</v>
      </c>
      <c r="I276" s="34">
        <v>31.3</v>
      </c>
      <c r="J276" s="36">
        <v>143100</v>
      </c>
      <c r="K276" s="36">
        <v>3300</v>
      </c>
      <c r="L276" s="34">
        <v>4</v>
      </c>
      <c r="M276" s="36">
        <v>33</v>
      </c>
      <c r="N276" s="36">
        <v>10</v>
      </c>
      <c r="O276" s="36">
        <v>17</v>
      </c>
      <c r="P276" s="34">
        <v>3.6</v>
      </c>
      <c r="Q276" s="34" t="s">
        <v>28</v>
      </c>
      <c r="R276" s="34" t="s">
        <v>29</v>
      </c>
      <c r="S276" s="34" t="s">
        <v>43</v>
      </c>
      <c r="T276" s="35">
        <v>46161</v>
      </c>
      <c r="U276" s="34">
        <v>3.8</v>
      </c>
      <c r="V276" s="34">
        <v>3.7</v>
      </c>
      <c r="W276" s="34" t="s">
        <v>407</v>
      </c>
      <c r="X276" s="34" t="s">
        <v>842</v>
      </c>
    </row>
    <row r="277" spans="1:24" x14ac:dyDescent="0.3">
      <c r="A277" s="34" t="s">
        <v>233</v>
      </c>
      <c r="B277" s="35">
        <v>45408</v>
      </c>
      <c r="C277" s="34" t="s">
        <v>36</v>
      </c>
      <c r="D277" s="34" t="s">
        <v>41</v>
      </c>
      <c r="E277" s="36">
        <v>30</v>
      </c>
      <c r="F277" s="34" t="s">
        <v>25</v>
      </c>
      <c r="G277" s="34" t="s">
        <v>26</v>
      </c>
      <c r="H277" s="34" t="s">
        <v>55</v>
      </c>
      <c r="I277" s="34">
        <v>9</v>
      </c>
      <c r="J277" s="36">
        <v>65000</v>
      </c>
      <c r="K277" s="36">
        <v>7300</v>
      </c>
      <c r="L277" s="34">
        <v>3.7</v>
      </c>
      <c r="M277" s="36">
        <v>35</v>
      </c>
      <c r="N277" s="36">
        <v>12</v>
      </c>
      <c r="O277" s="36">
        <v>4</v>
      </c>
      <c r="P277" s="34">
        <v>4.0999999999999996</v>
      </c>
      <c r="Q277" s="34" t="s">
        <v>28</v>
      </c>
      <c r="R277" s="34" t="s">
        <v>28</v>
      </c>
      <c r="S277" s="34" t="s">
        <v>38</v>
      </c>
      <c r="T277" s="35">
        <v>45944</v>
      </c>
      <c r="U277" s="34">
        <v>3</v>
      </c>
      <c r="V277" s="34">
        <v>3.1</v>
      </c>
      <c r="W277" s="34" t="s">
        <v>407</v>
      </c>
      <c r="X277" s="34" t="s">
        <v>843</v>
      </c>
    </row>
    <row r="278" spans="1:24" x14ac:dyDescent="0.3">
      <c r="A278" s="34" t="s">
        <v>241</v>
      </c>
      <c r="B278" s="35">
        <v>44475</v>
      </c>
      <c r="C278" s="34" t="s">
        <v>40</v>
      </c>
      <c r="D278" s="34" t="s">
        <v>41</v>
      </c>
      <c r="E278" s="36">
        <v>57</v>
      </c>
      <c r="F278" s="34" t="s">
        <v>25</v>
      </c>
      <c r="G278" s="34" t="s">
        <v>26</v>
      </c>
      <c r="H278" s="34" t="s">
        <v>27</v>
      </c>
      <c r="I278" s="34">
        <v>28.7</v>
      </c>
      <c r="J278" s="36">
        <v>140800</v>
      </c>
      <c r="K278" s="36">
        <v>9400</v>
      </c>
      <c r="L278" s="34">
        <v>3.9</v>
      </c>
      <c r="M278" s="36">
        <v>31</v>
      </c>
      <c r="N278" s="36">
        <v>20</v>
      </c>
      <c r="O278" s="36">
        <v>19</v>
      </c>
      <c r="P278" s="34">
        <v>4.4000000000000004</v>
      </c>
      <c r="Q278" s="34" t="s">
        <v>28</v>
      </c>
      <c r="R278" s="34" t="s">
        <v>28</v>
      </c>
      <c r="S278" s="34" t="s">
        <v>60</v>
      </c>
      <c r="T278" s="35">
        <v>44747</v>
      </c>
      <c r="U278" s="34">
        <v>3</v>
      </c>
      <c r="V278" s="34">
        <v>3.3</v>
      </c>
      <c r="W278" s="34" t="s">
        <v>407</v>
      </c>
      <c r="X278" s="34" t="s">
        <v>844</v>
      </c>
    </row>
    <row r="279" spans="1:24" x14ac:dyDescent="0.3">
      <c r="A279" s="34" t="s">
        <v>247</v>
      </c>
      <c r="B279" s="35">
        <v>44254</v>
      </c>
      <c r="C279" s="34" t="s">
        <v>54</v>
      </c>
      <c r="D279" s="34" t="s">
        <v>24</v>
      </c>
      <c r="E279" s="36">
        <v>43</v>
      </c>
      <c r="F279" s="34" t="s">
        <v>25</v>
      </c>
      <c r="G279" s="34" t="s">
        <v>33</v>
      </c>
      <c r="H279" s="34" t="s">
        <v>63</v>
      </c>
      <c r="I279" s="34">
        <v>24.6</v>
      </c>
      <c r="J279" s="36">
        <v>128800</v>
      </c>
      <c r="K279" s="36">
        <v>7100</v>
      </c>
      <c r="L279" s="34">
        <v>4.2</v>
      </c>
      <c r="M279" s="36">
        <v>19</v>
      </c>
      <c r="N279" s="36">
        <v>13</v>
      </c>
      <c r="O279" s="36">
        <v>23</v>
      </c>
      <c r="P279" s="34">
        <v>3.9</v>
      </c>
      <c r="Q279" s="34" t="s">
        <v>28</v>
      </c>
      <c r="R279" s="34" t="s">
        <v>29</v>
      </c>
      <c r="S279" s="34" t="s">
        <v>34</v>
      </c>
      <c r="T279" s="35">
        <v>44562</v>
      </c>
      <c r="U279" s="34">
        <v>2.4</v>
      </c>
      <c r="V279" s="34">
        <v>2.8</v>
      </c>
      <c r="W279" s="34" t="s">
        <v>407</v>
      </c>
      <c r="X279" s="34" t="s">
        <v>845</v>
      </c>
    </row>
    <row r="280" spans="1:24" x14ac:dyDescent="0.3">
      <c r="A280" s="34" t="s">
        <v>248</v>
      </c>
      <c r="B280" s="35">
        <v>45276</v>
      </c>
      <c r="C280" s="34" t="s">
        <v>36</v>
      </c>
      <c r="D280" s="34" t="s">
        <v>41</v>
      </c>
      <c r="E280" s="36">
        <v>55</v>
      </c>
      <c r="F280" s="34" t="s">
        <v>25</v>
      </c>
      <c r="G280" s="34" t="s">
        <v>51</v>
      </c>
      <c r="H280" s="34" t="s">
        <v>46</v>
      </c>
      <c r="I280" s="34">
        <v>35</v>
      </c>
      <c r="J280" s="36">
        <v>149100</v>
      </c>
      <c r="K280" s="36">
        <v>3800</v>
      </c>
      <c r="L280" s="34">
        <v>3.7</v>
      </c>
      <c r="M280" s="36">
        <v>30</v>
      </c>
      <c r="N280" s="36">
        <v>16</v>
      </c>
      <c r="O280" s="36">
        <v>5</v>
      </c>
      <c r="P280" s="34">
        <v>2.7</v>
      </c>
      <c r="Q280" s="34" t="s">
        <v>28</v>
      </c>
      <c r="R280" s="34" t="s">
        <v>28</v>
      </c>
      <c r="S280" s="34" t="s">
        <v>30</v>
      </c>
      <c r="T280" s="35">
        <v>46189</v>
      </c>
      <c r="U280" s="34">
        <v>3.6</v>
      </c>
      <c r="V280" s="34">
        <v>3.5</v>
      </c>
      <c r="W280" s="34" t="s">
        <v>407</v>
      </c>
      <c r="X280" s="34" t="s">
        <v>846</v>
      </c>
    </row>
    <row r="281" spans="1:24" x14ac:dyDescent="0.3">
      <c r="A281" s="34" t="s">
        <v>264</v>
      </c>
      <c r="B281" s="35">
        <v>45213</v>
      </c>
      <c r="C281" s="34" t="s">
        <v>54</v>
      </c>
      <c r="D281" s="34" t="s">
        <v>41</v>
      </c>
      <c r="E281" s="36">
        <v>46</v>
      </c>
      <c r="F281" s="34" t="s">
        <v>25</v>
      </c>
      <c r="G281" s="34" t="s">
        <v>26</v>
      </c>
      <c r="H281" s="34" t="s">
        <v>37</v>
      </c>
      <c r="I281" s="34">
        <v>25.5</v>
      </c>
      <c r="J281" s="36">
        <v>128400</v>
      </c>
      <c r="K281" s="36">
        <v>8500</v>
      </c>
      <c r="L281" s="34">
        <v>4.5999999999999996</v>
      </c>
      <c r="M281" s="36">
        <v>21</v>
      </c>
      <c r="N281" s="36">
        <v>15</v>
      </c>
      <c r="O281" s="36">
        <v>24</v>
      </c>
      <c r="P281" s="34">
        <v>3.1</v>
      </c>
      <c r="Q281" s="34" t="s">
        <v>28</v>
      </c>
      <c r="R281" s="34" t="s">
        <v>29</v>
      </c>
      <c r="S281" s="34" t="s">
        <v>60</v>
      </c>
      <c r="T281" s="35">
        <v>45993</v>
      </c>
      <c r="U281" s="34">
        <v>3.9</v>
      </c>
      <c r="V281" s="34">
        <v>4.2</v>
      </c>
      <c r="W281" s="34" t="s">
        <v>407</v>
      </c>
      <c r="X281" s="34" t="s">
        <v>847</v>
      </c>
    </row>
    <row r="282" spans="1:24" x14ac:dyDescent="0.3">
      <c r="A282" s="34" t="s">
        <v>265</v>
      </c>
      <c r="B282" s="35">
        <v>44253</v>
      </c>
      <c r="C282" s="34" t="s">
        <v>54</v>
      </c>
      <c r="D282" s="34" t="s">
        <v>41</v>
      </c>
      <c r="E282" s="36">
        <v>47</v>
      </c>
      <c r="F282" s="34" t="s">
        <v>25</v>
      </c>
      <c r="G282" s="34" t="s">
        <v>33</v>
      </c>
      <c r="H282" s="34" t="s">
        <v>63</v>
      </c>
      <c r="I282" s="34">
        <v>23.3</v>
      </c>
      <c r="J282" s="36">
        <v>125600</v>
      </c>
      <c r="K282" s="36">
        <v>3300</v>
      </c>
      <c r="L282" s="34">
        <v>2.6</v>
      </c>
      <c r="M282" s="36">
        <v>37</v>
      </c>
      <c r="N282" s="36">
        <v>10</v>
      </c>
      <c r="O282" s="36">
        <v>27</v>
      </c>
      <c r="P282" s="34">
        <v>3.5</v>
      </c>
      <c r="Q282" s="34" t="s">
        <v>28</v>
      </c>
      <c r="R282" s="34" t="s">
        <v>28</v>
      </c>
      <c r="S282" s="34" t="s">
        <v>38</v>
      </c>
      <c r="T282" s="35">
        <v>45156</v>
      </c>
      <c r="U282" s="34">
        <v>3.1</v>
      </c>
      <c r="V282" s="34">
        <v>3.9</v>
      </c>
      <c r="W282" s="34" t="s">
        <v>407</v>
      </c>
      <c r="X282" s="34" t="s">
        <v>848</v>
      </c>
    </row>
    <row r="283" spans="1:24" x14ac:dyDescent="0.3">
      <c r="A283" s="34" t="s">
        <v>268</v>
      </c>
      <c r="B283" s="35">
        <v>44633</v>
      </c>
      <c r="C283" s="34" t="s">
        <v>23</v>
      </c>
      <c r="D283" s="34" t="s">
        <v>41</v>
      </c>
      <c r="E283" s="36">
        <v>45</v>
      </c>
      <c r="F283" s="34" t="s">
        <v>25</v>
      </c>
      <c r="G283" s="34" t="s">
        <v>51</v>
      </c>
      <c r="H283" s="34" t="s">
        <v>52</v>
      </c>
      <c r="I283" s="34">
        <v>26.4</v>
      </c>
      <c r="J283" s="36">
        <v>105400</v>
      </c>
      <c r="K283" s="36">
        <v>11200</v>
      </c>
      <c r="L283" s="34">
        <v>3.2</v>
      </c>
      <c r="M283" s="36">
        <v>37</v>
      </c>
      <c r="N283" s="36">
        <v>13</v>
      </c>
      <c r="O283" s="36">
        <v>7</v>
      </c>
      <c r="P283" s="34">
        <v>4.3</v>
      </c>
      <c r="Q283" s="34" t="s">
        <v>28</v>
      </c>
      <c r="R283" s="34" t="s">
        <v>28</v>
      </c>
      <c r="S283" s="34" t="s">
        <v>38</v>
      </c>
      <c r="T283" s="35">
        <v>45943</v>
      </c>
      <c r="U283" s="34">
        <v>4.0999999999999996</v>
      </c>
      <c r="V283" s="34">
        <v>4.3</v>
      </c>
      <c r="W283" s="34" t="s">
        <v>407</v>
      </c>
      <c r="X283" s="34" t="s">
        <v>849</v>
      </c>
    </row>
    <row r="284" spans="1:24" x14ac:dyDescent="0.3">
      <c r="A284" s="34" t="s">
        <v>269</v>
      </c>
      <c r="B284" s="35">
        <v>45712</v>
      </c>
      <c r="C284" s="34" t="s">
        <v>48</v>
      </c>
      <c r="D284" s="34" t="s">
        <v>41</v>
      </c>
      <c r="E284" s="36">
        <v>35</v>
      </c>
      <c r="F284" s="34" t="s">
        <v>25</v>
      </c>
      <c r="G284" s="34" t="s">
        <v>26</v>
      </c>
      <c r="H284" s="34" t="s">
        <v>55</v>
      </c>
      <c r="I284" s="34">
        <v>12</v>
      </c>
      <c r="J284" s="36">
        <v>78600</v>
      </c>
      <c r="K284" s="36">
        <v>5900</v>
      </c>
      <c r="L284" s="34">
        <v>4</v>
      </c>
      <c r="M284" s="36">
        <v>36</v>
      </c>
      <c r="N284" s="36">
        <v>18</v>
      </c>
      <c r="O284" s="36">
        <v>1</v>
      </c>
      <c r="P284" s="34">
        <v>3.7</v>
      </c>
      <c r="Q284" s="34" t="s">
        <v>28</v>
      </c>
      <c r="R284" s="34" t="s">
        <v>29</v>
      </c>
      <c r="S284" s="34" t="s">
        <v>43</v>
      </c>
      <c r="T284" s="35">
        <v>45968</v>
      </c>
      <c r="U284" s="34">
        <v>3.8</v>
      </c>
      <c r="V284" s="34">
        <v>4.3</v>
      </c>
      <c r="W284" s="34" t="s">
        <v>407</v>
      </c>
      <c r="X284" s="34" t="s">
        <v>850</v>
      </c>
    </row>
    <row r="285" spans="1:24" x14ac:dyDescent="0.3">
      <c r="A285" s="34" t="s">
        <v>278</v>
      </c>
      <c r="B285" s="35">
        <v>44697</v>
      </c>
      <c r="C285" s="34" t="s">
        <v>48</v>
      </c>
      <c r="D285" s="34" t="s">
        <v>41</v>
      </c>
      <c r="E285" s="36">
        <v>39</v>
      </c>
      <c r="F285" s="34" t="s">
        <v>25</v>
      </c>
      <c r="G285" s="34" t="s">
        <v>33</v>
      </c>
      <c r="H285" s="34" t="s">
        <v>52</v>
      </c>
      <c r="I285" s="34">
        <v>18.5</v>
      </c>
      <c r="J285" s="36">
        <v>113800</v>
      </c>
      <c r="K285" s="36">
        <v>5700</v>
      </c>
      <c r="L285" s="34">
        <v>4.5999999999999996</v>
      </c>
      <c r="M285" s="36">
        <v>39</v>
      </c>
      <c r="N285" s="36">
        <v>11</v>
      </c>
      <c r="O285" s="36">
        <v>24</v>
      </c>
      <c r="P285" s="34">
        <v>3</v>
      </c>
      <c r="Q285" s="34" t="s">
        <v>28</v>
      </c>
      <c r="R285" s="34" t="s">
        <v>29</v>
      </c>
      <c r="S285" s="34" t="s">
        <v>60</v>
      </c>
      <c r="T285" s="35">
        <v>45949</v>
      </c>
      <c r="U285" s="34">
        <v>3.1</v>
      </c>
      <c r="V285" s="34">
        <v>3.4</v>
      </c>
      <c r="W285" s="34" t="s">
        <v>407</v>
      </c>
      <c r="X285" s="34" t="s">
        <v>851</v>
      </c>
    </row>
    <row r="286" spans="1:24" x14ac:dyDescent="0.3">
      <c r="A286" s="34" t="s">
        <v>281</v>
      </c>
      <c r="B286" s="35">
        <v>44227</v>
      </c>
      <c r="C286" s="34" t="s">
        <v>54</v>
      </c>
      <c r="D286" s="34" t="s">
        <v>24</v>
      </c>
      <c r="E286" s="36">
        <v>38</v>
      </c>
      <c r="F286" s="34" t="s">
        <v>25</v>
      </c>
      <c r="G286" s="34" t="s">
        <v>51</v>
      </c>
      <c r="H286" s="34" t="s">
        <v>55</v>
      </c>
      <c r="I286" s="34">
        <v>18.5</v>
      </c>
      <c r="J286" s="36">
        <v>92400</v>
      </c>
      <c r="K286" s="36">
        <v>10700</v>
      </c>
      <c r="L286" s="34">
        <v>3.6</v>
      </c>
      <c r="M286" s="36">
        <v>11</v>
      </c>
      <c r="N286" s="36">
        <v>10</v>
      </c>
      <c r="O286" s="36">
        <v>29</v>
      </c>
      <c r="P286" s="34">
        <v>3</v>
      </c>
      <c r="Q286" s="34" t="s">
        <v>28</v>
      </c>
      <c r="R286" s="34" t="s">
        <v>28</v>
      </c>
      <c r="S286" s="34" t="s">
        <v>43</v>
      </c>
      <c r="T286" s="35">
        <v>45056</v>
      </c>
      <c r="U286" s="34">
        <v>3.2</v>
      </c>
      <c r="V286" s="34">
        <v>3.8</v>
      </c>
      <c r="W286" s="34" t="s">
        <v>407</v>
      </c>
      <c r="X286" s="34" t="s">
        <v>852</v>
      </c>
    </row>
    <row r="287" spans="1:24" x14ac:dyDescent="0.3">
      <c r="A287" s="34" t="s">
        <v>283</v>
      </c>
      <c r="B287" s="35">
        <v>45082</v>
      </c>
      <c r="C287" s="34" t="s">
        <v>40</v>
      </c>
      <c r="D287" s="34" t="s">
        <v>24</v>
      </c>
      <c r="E287" s="36">
        <v>29</v>
      </c>
      <c r="F287" s="34" t="s">
        <v>25</v>
      </c>
      <c r="G287" s="34" t="s">
        <v>42</v>
      </c>
      <c r="H287" s="34" t="s">
        <v>27</v>
      </c>
      <c r="I287" s="34">
        <v>8.6999999999999993</v>
      </c>
      <c r="J287" s="36">
        <v>93600</v>
      </c>
      <c r="K287" s="36">
        <v>4900</v>
      </c>
      <c r="L287" s="34">
        <v>4.4000000000000004</v>
      </c>
      <c r="M287" s="36">
        <v>9</v>
      </c>
      <c r="N287" s="36">
        <v>9</v>
      </c>
      <c r="O287" s="36">
        <v>10</v>
      </c>
      <c r="P287" s="34">
        <v>4.5</v>
      </c>
      <c r="Q287" s="34" t="s">
        <v>28</v>
      </c>
      <c r="R287" s="34" t="s">
        <v>29</v>
      </c>
      <c r="S287" s="34" t="s">
        <v>38</v>
      </c>
      <c r="T287" s="35">
        <v>45545</v>
      </c>
      <c r="U287" s="34">
        <v>4.2</v>
      </c>
      <c r="V287" s="34">
        <v>4.8</v>
      </c>
      <c r="W287" s="34" t="s">
        <v>407</v>
      </c>
      <c r="X287" s="34" t="s">
        <v>853</v>
      </c>
    </row>
    <row r="288" spans="1:24" x14ac:dyDescent="0.3">
      <c r="A288" s="34" t="s">
        <v>288</v>
      </c>
      <c r="B288" s="35">
        <v>45308</v>
      </c>
      <c r="C288" s="34" t="s">
        <v>32</v>
      </c>
      <c r="D288" s="34" t="s">
        <v>24</v>
      </c>
      <c r="E288" s="36">
        <v>38</v>
      </c>
      <c r="F288" s="34" t="s">
        <v>25</v>
      </c>
      <c r="G288" s="34" t="s">
        <v>33</v>
      </c>
      <c r="H288" s="34" t="s">
        <v>27</v>
      </c>
      <c r="I288" s="34">
        <v>16.2</v>
      </c>
      <c r="J288" s="36">
        <v>114600</v>
      </c>
      <c r="K288" s="36">
        <v>12800</v>
      </c>
      <c r="L288" s="34">
        <v>2.7</v>
      </c>
      <c r="M288" s="36">
        <v>7</v>
      </c>
      <c r="N288" s="36">
        <v>15</v>
      </c>
      <c r="O288" s="36">
        <v>17</v>
      </c>
      <c r="P288" s="34">
        <v>3.9</v>
      </c>
      <c r="Q288" s="34" t="s">
        <v>28</v>
      </c>
      <c r="R288" s="34" t="s">
        <v>28</v>
      </c>
      <c r="S288" s="34" t="s">
        <v>34</v>
      </c>
      <c r="T288" s="35">
        <v>46200</v>
      </c>
      <c r="U288" s="34">
        <v>4.2</v>
      </c>
      <c r="V288" s="34">
        <v>4.5</v>
      </c>
      <c r="W288" s="34" t="s">
        <v>407</v>
      </c>
      <c r="X288" s="34" t="s">
        <v>854</v>
      </c>
    </row>
    <row r="289" spans="1:24" x14ac:dyDescent="0.3">
      <c r="A289" s="34" t="s">
        <v>291</v>
      </c>
      <c r="B289" s="35">
        <v>44235</v>
      </c>
      <c r="C289" s="34" t="s">
        <v>23</v>
      </c>
      <c r="D289" s="34" t="s">
        <v>41</v>
      </c>
      <c r="E289" s="36">
        <v>55</v>
      </c>
      <c r="F289" s="34" t="s">
        <v>25</v>
      </c>
      <c r="G289" s="34" t="s">
        <v>26</v>
      </c>
      <c r="H289" s="34" t="s">
        <v>55</v>
      </c>
      <c r="I289" s="34">
        <v>34.700000000000003</v>
      </c>
      <c r="J289" s="36">
        <v>162500</v>
      </c>
      <c r="K289" s="36">
        <v>14000</v>
      </c>
      <c r="L289" s="34">
        <v>4.5</v>
      </c>
      <c r="M289" s="36">
        <v>19</v>
      </c>
      <c r="N289" s="36">
        <v>7</v>
      </c>
      <c r="O289" s="36">
        <v>25</v>
      </c>
      <c r="P289" s="34">
        <v>3.4</v>
      </c>
      <c r="Q289" s="34" t="s">
        <v>28</v>
      </c>
      <c r="R289" s="34" t="s">
        <v>29</v>
      </c>
      <c r="S289" s="34" t="s">
        <v>34</v>
      </c>
      <c r="T289" s="35">
        <v>44811</v>
      </c>
      <c r="U289" s="34">
        <v>3.3</v>
      </c>
      <c r="V289" s="34">
        <v>3.9</v>
      </c>
      <c r="W289" s="34" t="s">
        <v>407</v>
      </c>
      <c r="X289" s="34" t="s">
        <v>855</v>
      </c>
    </row>
    <row r="290" spans="1:24" x14ac:dyDescent="0.3">
      <c r="A290" s="34" t="s">
        <v>293</v>
      </c>
      <c r="B290" s="35">
        <v>45527</v>
      </c>
      <c r="C290" s="34" t="s">
        <v>23</v>
      </c>
      <c r="D290" s="34" t="s">
        <v>41</v>
      </c>
      <c r="E290" s="36">
        <v>52</v>
      </c>
      <c r="F290" s="34" t="s">
        <v>25</v>
      </c>
      <c r="G290" s="34" t="s">
        <v>33</v>
      </c>
      <c r="H290" s="34" t="s">
        <v>55</v>
      </c>
      <c r="I290" s="34">
        <v>29.2</v>
      </c>
      <c r="J290" s="36">
        <v>144600</v>
      </c>
      <c r="K290" s="36">
        <v>16800</v>
      </c>
      <c r="L290" s="34">
        <v>3.1</v>
      </c>
      <c r="M290" s="36">
        <v>13</v>
      </c>
      <c r="N290" s="36">
        <v>2</v>
      </c>
      <c r="O290" s="36">
        <v>5</v>
      </c>
      <c r="P290" s="34">
        <v>3.9</v>
      </c>
      <c r="Q290" s="34" t="s">
        <v>28</v>
      </c>
      <c r="R290" s="34" t="s">
        <v>28</v>
      </c>
      <c r="S290" s="34" t="s">
        <v>34</v>
      </c>
      <c r="T290" s="35">
        <v>45955</v>
      </c>
      <c r="U290" s="34">
        <v>4.0999999999999996</v>
      </c>
      <c r="V290" s="34">
        <v>4.5</v>
      </c>
      <c r="W290" s="34" t="s">
        <v>407</v>
      </c>
      <c r="X290" s="34" t="s">
        <v>856</v>
      </c>
    </row>
    <row r="291" spans="1:24" x14ac:dyDescent="0.3">
      <c r="A291" s="34" t="s">
        <v>296</v>
      </c>
      <c r="B291" s="35">
        <v>44611</v>
      </c>
      <c r="C291" s="34" t="s">
        <v>48</v>
      </c>
      <c r="D291" s="34" t="s">
        <v>41</v>
      </c>
      <c r="E291" s="36">
        <v>43</v>
      </c>
      <c r="F291" s="34" t="s">
        <v>25</v>
      </c>
      <c r="G291" s="34" t="s">
        <v>26</v>
      </c>
      <c r="H291" s="34" t="s">
        <v>52</v>
      </c>
      <c r="I291" s="34">
        <v>20.3</v>
      </c>
      <c r="J291" s="36">
        <v>96500</v>
      </c>
      <c r="K291" s="36">
        <v>3300</v>
      </c>
      <c r="L291" s="34">
        <v>3.2</v>
      </c>
      <c r="M291" s="36">
        <v>19</v>
      </c>
      <c r="N291" s="36">
        <v>11</v>
      </c>
      <c r="O291" s="36">
        <v>3</v>
      </c>
      <c r="P291" s="34">
        <v>3.5</v>
      </c>
      <c r="Q291" s="34" t="s">
        <v>28</v>
      </c>
      <c r="R291" s="34" t="s">
        <v>28</v>
      </c>
      <c r="S291" s="34" t="s">
        <v>38</v>
      </c>
      <c r="T291" s="35">
        <v>45081</v>
      </c>
      <c r="U291" s="34">
        <v>3.7</v>
      </c>
      <c r="V291" s="34">
        <v>4</v>
      </c>
      <c r="W291" s="34" t="s">
        <v>407</v>
      </c>
      <c r="X291" s="34" t="s">
        <v>857</v>
      </c>
    </row>
    <row r="292" spans="1:24" x14ac:dyDescent="0.3">
      <c r="A292" s="34" t="s">
        <v>298</v>
      </c>
      <c r="B292" s="35">
        <v>44613</v>
      </c>
      <c r="C292" s="34" t="s">
        <v>48</v>
      </c>
      <c r="D292" s="34" t="s">
        <v>24</v>
      </c>
      <c r="E292" s="36">
        <v>44</v>
      </c>
      <c r="F292" s="34" t="s">
        <v>25</v>
      </c>
      <c r="G292" s="34" t="s">
        <v>26</v>
      </c>
      <c r="H292" s="34" t="s">
        <v>55</v>
      </c>
      <c r="I292" s="34">
        <v>19.100000000000001</v>
      </c>
      <c r="J292" s="36">
        <v>110900</v>
      </c>
      <c r="K292" s="36">
        <v>11100</v>
      </c>
      <c r="L292" s="34">
        <v>3.7</v>
      </c>
      <c r="M292" s="36">
        <v>22</v>
      </c>
      <c r="N292" s="36">
        <v>16</v>
      </c>
      <c r="O292" s="36">
        <v>17</v>
      </c>
      <c r="P292" s="34">
        <v>2.9</v>
      </c>
      <c r="Q292" s="34" t="s">
        <v>28</v>
      </c>
      <c r="R292" s="34" t="s">
        <v>28</v>
      </c>
      <c r="S292" s="34" t="s">
        <v>60</v>
      </c>
      <c r="T292" s="35">
        <v>45721</v>
      </c>
      <c r="U292" s="34">
        <v>3.3</v>
      </c>
      <c r="V292" s="34">
        <v>3.5</v>
      </c>
      <c r="W292" s="34" t="s">
        <v>407</v>
      </c>
      <c r="X292" s="34" t="s">
        <v>858</v>
      </c>
    </row>
    <row r="293" spans="1:24" x14ac:dyDescent="0.3">
      <c r="A293" s="34" t="s">
        <v>302</v>
      </c>
      <c r="B293" s="35">
        <v>45625</v>
      </c>
      <c r="C293" s="34" t="s">
        <v>23</v>
      </c>
      <c r="D293" s="34" t="s">
        <v>24</v>
      </c>
      <c r="E293" s="36">
        <v>48</v>
      </c>
      <c r="F293" s="34" t="s">
        <v>25</v>
      </c>
      <c r="G293" s="34" t="s">
        <v>51</v>
      </c>
      <c r="H293" s="34" t="s">
        <v>52</v>
      </c>
      <c r="I293" s="34">
        <v>28.9</v>
      </c>
      <c r="J293" s="36">
        <v>130900</v>
      </c>
      <c r="K293" s="36">
        <v>11000</v>
      </c>
      <c r="L293" s="34">
        <v>3.4</v>
      </c>
      <c r="M293" s="36">
        <v>11</v>
      </c>
      <c r="N293" s="36">
        <v>12</v>
      </c>
      <c r="O293" s="36">
        <v>20</v>
      </c>
      <c r="P293" s="34">
        <v>2.6</v>
      </c>
      <c r="Q293" s="34" t="s">
        <v>28</v>
      </c>
      <c r="R293" s="34" t="s">
        <v>28</v>
      </c>
      <c r="S293" s="34" t="s">
        <v>43</v>
      </c>
      <c r="T293" s="35">
        <v>45937</v>
      </c>
      <c r="U293" s="34">
        <v>2.8</v>
      </c>
      <c r="V293" s="34">
        <v>3.2</v>
      </c>
      <c r="W293" s="34" t="s">
        <v>407</v>
      </c>
      <c r="X293" s="34" t="s">
        <v>859</v>
      </c>
    </row>
    <row r="294" spans="1:24" x14ac:dyDescent="0.3">
      <c r="A294" s="34" t="s">
        <v>307</v>
      </c>
      <c r="B294" s="35">
        <v>44766</v>
      </c>
      <c r="C294" s="34" t="s">
        <v>54</v>
      </c>
      <c r="D294" s="34" t="s">
        <v>24</v>
      </c>
      <c r="E294" s="36">
        <v>39</v>
      </c>
      <c r="F294" s="34" t="s">
        <v>25</v>
      </c>
      <c r="G294" s="34" t="s">
        <v>26</v>
      </c>
      <c r="H294" s="34" t="s">
        <v>55</v>
      </c>
      <c r="I294" s="34">
        <v>14.3</v>
      </c>
      <c r="J294" s="36">
        <v>88900</v>
      </c>
      <c r="K294" s="36">
        <v>7500</v>
      </c>
      <c r="L294" s="34">
        <v>2.7</v>
      </c>
      <c r="M294" s="36">
        <v>28</v>
      </c>
      <c r="N294" s="36">
        <v>14</v>
      </c>
      <c r="O294" s="36">
        <v>12</v>
      </c>
      <c r="P294" s="34">
        <v>4.5999999999999996</v>
      </c>
      <c r="Q294" s="34" t="s">
        <v>28</v>
      </c>
      <c r="R294" s="34" t="s">
        <v>28</v>
      </c>
      <c r="S294" s="34" t="s">
        <v>38</v>
      </c>
      <c r="T294" s="35">
        <v>45702</v>
      </c>
      <c r="U294" s="34">
        <v>3.6</v>
      </c>
      <c r="V294" s="34">
        <v>3.9</v>
      </c>
      <c r="W294" s="34" t="s">
        <v>407</v>
      </c>
      <c r="X294" s="34" t="s">
        <v>860</v>
      </c>
    </row>
    <row r="295" spans="1:24" x14ac:dyDescent="0.3">
      <c r="A295" s="34" t="s">
        <v>314</v>
      </c>
      <c r="B295" s="35">
        <v>45332</v>
      </c>
      <c r="C295" s="34" t="s">
        <v>40</v>
      </c>
      <c r="D295" s="34" t="s">
        <v>41</v>
      </c>
      <c r="E295" s="36">
        <v>53</v>
      </c>
      <c r="F295" s="34" t="s">
        <v>25</v>
      </c>
      <c r="G295" s="34" t="s">
        <v>33</v>
      </c>
      <c r="H295" s="34" t="s">
        <v>52</v>
      </c>
      <c r="I295" s="34">
        <v>32.700000000000003</v>
      </c>
      <c r="J295" s="36">
        <v>158700</v>
      </c>
      <c r="K295" s="36">
        <v>11800</v>
      </c>
      <c r="L295" s="34">
        <v>3.1</v>
      </c>
      <c r="M295" s="36">
        <v>34</v>
      </c>
      <c r="N295" s="36">
        <v>11</v>
      </c>
      <c r="O295" s="36">
        <v>5</v>
      </c>
      <c r="P295" s="34">
        <v>4</v>
      </c>
      <c r="Q295" s="34" t="s">
        <v>28</v>
      </c>
      <c r="R295" s="34" t="s">
        <v>28</v>
      </c>
      <c r="S295" s="34" t="s">
        <v>30</v>
      </c>
      <c r="T295" s="35">
        <v>46157</v>
      </c>
      <c r="U295" s="34">
        <v>3.6</v>
      </c>
      <c r="V295" s="34">
        <v>3.5</v>
      </c>
      <c r="W295" s="34" t="s">
        <v>407</v>
      </c>
      <c r="X295" s="34" t="s">
        <v>861</v>
      </c>
    </row>
    <row r="296" spans="1:24" x14ac:dyDescent="0.3">
      <c r="A296" s="34" t="s">
        <v>322</v>
      </c>
      <c r="B296" s="35">
        <v>44307</v>
      </c>
      <c r="C296" s="34" t="s">
        <v>36</v>
      </c>
      <c r="D296" s="34" t="s">
        <v>41</v>
      </c>
      <c r="E296" s="36">
        <v>56</v>
      </c>
      <c r="F296" s="34" t="s">
        <v>25</v>
      </c>
      <c r="G296" s="34" t="s">
        <v>51</v>
      </c>
      <c r="H296" s="34" t="s">
        <v>46</v>
      </c>
      <c r="I296" s="34">
        <v>28.8</v>
      </c>
      <c r="J296" s="36">
        <v>122100</v>
      </c>
      <c r="K296" s="36">
        <v>14200</v>
      </c>
      <c r="L296" s="34">
        <v>4.0999999999999996</v>
      </c>
      <c r="M296" s="36">
        <v>24</v>
      </c>
      <c r="N296" s="36">
        <v>14</v>
      </c>
      <c r="O296" s="36">
        <v>12</v>
      </c>
      <c r="P296" s="34">
        <v>3</v>
      </c>
      <c r="Q296" s="34" t="s">
        <v>28</v>
      </c>
      <c r="R296" s="34" t="s">
        <v>29</v>
      </c>
      <c r="S296" s="34" t="s">
        <v>38</v>
      </c>
      <c r="T296" s="35">
        <v>45388</v>
      </c>
      <c r="U296" s="34">
        <v>3.5</v>
      </c>
      <c r="V296" s="34">
        <v>4.2</v>
      </c>
      <c r="W296" s="34" t="s">
        <v>407</v>
      </c>
      <c r="X296" s="34" t="s">
        <v>862</v>
      </c>
    </row>
    <row r="297" spans="1:24" x14ac:dyDescent="0.3">
      <c r="A297" s="34" t="s">
        <v>325</v>
      </c>
      <c r="B297" s="35">
        <v>44885</v>
      </c>
      <c r="C297" s="34" t="s">
        <v>48</v>
      </c>
      <c r="D297" s="34" t="s">
        <v>41</v>
      </c>
      <c r="E297" s="36">
        <v>41</v>
      </c>
      <c r="F297" s="34" t="s">
        <v>25</v>
      </c>
      <c r="G297" s="34" t="s">
        <v>51</v>
      </c>
      <c r="H297" s="34" t="s">
        <v>46</v>
      </c>
      <c r="I297" s="34">
        <v>15</v>
      </c>
      <c r="J297" s="36">
        <v>81600</v>
      </c>
      <c r="K297" s="36">
        <v>7100</v>
      </c>
      <c r="L297" s="34">
        <v>4.4000000000000004</v>
      </c>
      <c r="M297" s="36">
        <v>37</v>
      </c>
      <c r="N297" s="36">
        <v>17</v>
      </c>
      <c r="O297" s="36">
        <v>16</v>
      </c>
      <c r="P297" s="34">
        <v>3.5</v>
      </c>
      <c r="Q297" s="34" t="s">
        <v>28</v>
      </c>
      <c r="R297" s="34" t="s">
        <v>29</v>
      </c>
      <c r="S297" s="34" t="s">
        <v>38</v>
      </c>
      <c r="T297" s="35">
        <v>45395</v>
      </c>
      <c r="U297" s="34">
        <v>3.9</v>
      </c>
      <c r="V297" s="34">
        <v>4.8</v>
      </c>
      <c r="W297" s="34" t="s">
        <v>407</v>
      </c>
      <c r="X297" s="34" t="s">
        <v>863</v>
      </c>
    </row>
    <row r="298" spans="1:24" x14ac:dyDescent="0.3">
      <c r="A298" s="34" t="s">
        <v>333</v>
      </c>
      <c r="B298" s="35">
        <v>44260</v>
      </c>
      <c r="C298" s="34" t="s">
        <v>54</v>
      </c>
      <c r="D298" s="34" t="s">
        <v>24</v>
      </c>
      <c r="E298" s="36">
        <v>55</v>
      </c>
      <c r="F298" s="34" t="s">
        <v>25</v>
      </c>
      <c r="G298" s="34" t="s">
        <v>26</v>
      </c>
      <c r="H298" s="34" t="s">
        <v>55</v>
      </c>
      <c r="I298" s="34">
        <v>29.1</v>
      </c>
      <c r="J298" s="36">
        <v>142900</v>
      </c>
      <c r="K298" s="36">
        <v>5800</v>
      </c>
      <c r="L298" s="34">
        <v>3.8</v>
      </c>
      <c r="M298" s="36">
        <v>28</v>
      </c>
      <c r="N298" s="36">
        <v>13</v>
      </c>
      <c r="O298" s="36">
        <v>21</v>
      </c>
      <c r="P298" s="34">
        <v>3.8</v>
      </c>
      <c r="Q298" s="34" t="s">
        <v>28</v>
      </c>
      <c r="R298" s="34" t="s">
        <v>28</v>
      </c>
      <c r="S298" s="34" t="s">
        <v>34</v>
      </c>
      <c r="T298" s="35">
        <v>45260</v>
      </c>
      <c r="U298" s="34">
        <v>2.6</v>
      </c>
      <c r="V298" s="34">
        <v>3.6</v>
      </c>
      <c r="W298" s="34" t="s">
        <v>407</v>
      </c>
      <c r="X298" s="34" t="s">
        <v>864</v>
      </c>
    </row>
    <row r="299" spans="1:24" x14ac:dyDescent="0.3">
      <c r="A299" s="34" t="s">
        <v>334</v>
      </c>
      <c r="B299" s="35">
        <v>44414</v>
      </c>
      <c r="C299" s="34" t="s">
        <v>40</v>
      </c>
      <c r="D299" s="34" t="s">
        <v>24</v>
      </c>
      <c r="E299" s="36">
        <v>56</v>
      </c>
      <c r="F299" s="34" t="s">
        <v>25</v>
      </c>
      <c r="G299" s="34" t="s">
        <v>33</v>
      </c>
      <c r="H299" s="34" t="s">
        <v>46</v>
      </c>
      <c r="I299" s="34">
        <v>32.1</v>
      </c>
      <c r="J299" s="36">
        <v>163300</v>
      </c>
      <c r="K299" s="36">
        <v>16800</v>
      </c>
      <c r="L299" s="34">
        <v>3.5</v>
      </c>
      <c r="M299" s="36">
        <v>28</v>
      </c>
      <c r="N299" s="36">
        <v>20</v>
      </c>
      <c r="O299" s="36">
        <v>15</v>
      </c>
      <c r="P299" s="34">
        <v>3.5</v>
      </c>
      <c r="Q299" s="34" t="s">
        <v>28</v>
      </c>
      <c r="R299" s="34" t="s">
        <v>28</v>
      </c>
      <c r="S299" s="34" t="s">
        <v>43</v>
      </c>
      <c r="T299" s="35">
        <v>45277</v>
      </c>
      <c r="U299" s="34">
        <v>3.1</v>
      </c>
      <c r="V299" s="34">
        <v>3.7</v>
      </c>
      <c r="W299" s="34" t="s">
        <v>407</v>
      </c>
      <c r="X299" s="34" t="s">
        <v>865</v>
      </c>
    </row>
    <row r="300" spans="1:24" x14ac:dyDescent="0.3">
      <c r="A300" s="34" t="s">
        <v>338</v>
      </c>
      <c r="B300" s="35">
        <v>44757</v>
      </c>
      <c r="C300" s="34" t="s">
        <v>40</v>
      </c>
      <c r="D300" s="34" t="s">
        <v>24</v>
      </c>
      <c r="E300" s="36">
        <v>50</v>
      </c>
      <c r="F300" s="34" t="s">
        <v>25</v>
      </c>
      <c r="G300" s="34" t="s">
        <v>26</v>
      </c>
      <c r="H300" s="34" t="s">
        <v>55</v>
      </c>
      <c r="I300" s="34">
        <v>24.9</v>
      </c>
      <c r="J300" s="36">
        <v>130200</v>
      </c>
      <c r="K300" s="36">
        <v>11300</v>
      </c>
      <c r="L300" s="34">
        <v>3.2</v>
      </c>
      <c r="M300" s="36">
        <v>6</v>
      </c>
      <c r="N300" s="36">
        <v>12</v>
      </c>
      <c r="O300" s="36">
        <v>11</v>
      </c>
      <c r="P300" s="34">
        <v>3.1</v>
      </c>
      <c r="Q300" s="34" t="s">
        <v>28</v>
      </c>
      <c r="R300" s="34" t="s">
        <v>28</v>
      </c>
      <c r="S300" s="34" t="s">
        <v>30</v>
      </c>
      <c r="T300" s="35">
        <v>45347</v>
      </c>
      <c r="U300" s="34">
        <v>4.0999999999999996</v>
      </c>
      <c r="V300" s="34">
        <v>4.3</v>
      </c>
      <c r="W300" s="34" t="s">
        <v>407</v>
      </c>
      <c r="X300" s="34" t="s">
        <v>866</v>
      </c>
    </row>
    <row r="301" spans="1:24" x14ac:dyDescent="0.3">
      <c r="A301" s="34" t="s">
        <v>349</v>
      </c>
      <c r="B301" s="35">
        <v>44702</v>
      </c>
      <c r="C301" s="34" t="s">
        <v>32</v>
      </c>
      <c r="D301" s="34" t="s">
        <v>41</v>
      </c>
      <c r="E301" s="36">
        <v>46</v>
      </c>
      <c r="F301" s="34" t="s">
        <v>25</v>
      </c>
      <c r="G301" s="34" t="s">
        <v>33</v>
      </c>
      <c r="H301" s="34" t="s">
        <v>37</v>
      </c>
      <c r="I301" s="34">
        <v>19</v>
      </c>
      <c r="J301" s="36">
        <v>116700</v>
      </c>
      <c r="K301" s="36">
        <v>4100</v>
      </c>
      <c r="L301" s="34">
        <v>4.2</v>
      </c>
      <c r="M301" s="36">
        <v>17</v>
      </c>
      <c r="N301" s="36">
        <v>7</v>
      </c>
      <c r="O301" s="36">
        <v>13</v>
      </c>
      <c r="P301" s="34">
        <v>4</v>
      </c>
      <c r="Q301" s="34" t="s">
        <v>28</v>
      </c>
      <c r="R301" s="34" t="s">
        <v>29</v>
      </c>
      <c r="S301" s="34" t="s">
        <v>60</v>
      </c>
      <c r="T301" s="35">
        <v>45430</v>
      </c>
      <c r="U301" s="34">
        <v>3.3</v>
      </c>
      <c r="V301" s="34">
        <v>3.9</v>
      </c>
      <c r="W301" s="34" t="s">
        <v>407</v>
      </c>
      <c r="X301" s="34" t="s">
        <v>867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opLeftCell="A4" zoomScale="64" zoomScaleNormal="100" workbookViewId="0">
      <selection activeCell="B5" sqref="B5"/>
    </sheetView>
  </sheetViews>
  <sheetFormatPr defaultColWidth="8.6640625" defaultRowHeight="14.4" x14ac:dyDescent="0.3"/>
  <cols>
    <col min="1" max="1" width="60.109375" customWidth="1"/>
    <col min="2" max="2" width="36.5546875" customWidth="1"/>
    <col min="3" max="3" width="42.5546875" customWidth="1"/>
    <col min="4" max="4" width="49.5546875" customWidth="1"/>
  </cols>
  <sheetData>
    <row r="1" spans="1:6" ht="19.5" customHeight="1" x14ac:dyDescent="0.4">
      <c r="A1" s="38" t="s">
        <v>350</v>
      </c>
      <c r="B1" s="38"/>
      <c r="C1" s="38"/>
      <c r="D1" s="38"/>
      <c r="E1" s="38"/>
      <c r="F1" s="38"/>
    </row>
    <row r="2" spans="1:6" x14ac:dyDescent="0.3">
      <c r="A2" t="s">
        <v>565</v>
      </c>
      <c r="B2" t="s">
        <v>351</v>
      </c>
    </row>
    <row r="3" spans="1:6" x14ac:dyDescent="0.3">
      <c r="A3" t="s">
        <v>388</v>
      </c>
      <c r="D3" t="s">
        <v>387</v>
      </c>
    </row>
    <row r="5" spans="1:6" x14ac:dyDescent="0.3">
      <c r="A5" s="6" t="s">
        <v>352</v>
      </c>
      <c r="B5" s="6" t="s">
        <v>353</v>
      </c>
      <c r="C5" s="6" t="s">
        <v>354</v>
      </c>
      <c r="D5" s="6" t="s">
        <v>355</v>
      </c>
      <c r="E5" s="6"/>
      <c r="F5" s="7"/>
    </row>
    <row r="6" spans="1:6" ht="72" x14ac:dyDescent="0.3">
      <c r="A6" s="32" t="s">
        <v>356</v>
      </c>
      <c r="B6" s="27" t="s">
        <v>546</v>
      </c>
      <c r="C6" s="33" t="s">
        <v>552</v>
      </c>
      <c r="D6" s="10" t="s">
        <v>559</v>
      </c>
    </row>
    <row r="7" spans="1:6" ht="86.4" x14ac:dyDescent="0.3">
      <c r="A7" s="32" t="s">
        <v>357</v>
      </c>
      <c r="B7" s="22" t="s">
        <v>547</v>
      </c>
      <c r="C7" s="33" t="s">
        <v>553</v>
      </c>
      <c r="D7" s="10" t="s">
        <v>560</v>
      </c>
    </row>
    <row r="8" spans="1:6" ht="86.4" x14ac:dyDescent="0.3">
      <c r="A8" s="32" t="s">
        <v>358</v>
      </c>
      <c r="B8" s="22" t="s">
        <v>548</v>
      </c>
      <c r="C8" s="33" t="s">
        <v>554</v>
      </c>
      <c r="D8" s="10" t="s">
        <v>561</v>
      </c>
    </row>
    <row r="9" spans="1:6" ht="86.4" x14ac:dyDescent="0.3">
      <c r="A9" s="32" t="s">
        <v>359</v>
      </c>
      <c r="B9" s="22" t="s">
        <v>549</v>
      </c>
      <c r="C9" s="33" t="s">
        <v>555</v>
      </c>
      <c r="D9" s="10" t="s">
        <v>562</v>
      </c>
    </row>
    <row r="10" spans="1:6" ht="86.4" x14ac:dyDescent="0.3">
      <c r="A10" s="32" t="s">
        <v>360</v>
      </c>
      <c r="B10" s="22" t="s">
        <v>550</v>
      </c>
      <c r="C10" s="33" t="s">
        <v>556</v>
      </c>
      <c r="D10" s="10" t="s">
        <v>563</v>
      </c>
    </row>
    <row r="11" spans="1:6" ht="100.8" x14ac:dyDescent="0.3">
      <c r="A11" s="32" t="s">
        <v>361</v>
      </c>
      <c r="B11" s="22" t="s">
        <v>551</v>
      </c>
      <c r="C11" s="33" t="s">
        <v>557</v>
      </c>
      <c r="D11" s="10" t="s">
        <v>564</v>
      </c>
    </row>
  </sheetData>
  <mergeCells count="1">
    <mergeCell ref="A1:F1"/>
  </mergeCells>
  <hyperlinks>
    <hyperlink ref="C6" location="Analysis!A5" display="Go to Q1 Analysis" xr:uid="{83FB14BE-6BB5-4090-8273-FA54CCD6CDF3}"/>
    <hyperlink ref="C7" location="Analysis!A12" display="Go to Q2 Analysis" xr:uid="{13BB6DAC-3A23-442A-881A-33EB9A596502}"/>
    <hyperlink ref="C8" location="Analysis!A25" display="Go to Q3 Analysis" xr:uid="{592AC85B-5D11-44A9-B27C-C143CBEEA998}"/>
    <hyperlink ref="C9" location="Analysis!A47" display="Go to Q4 Analysis " xr:uid="{8B66594B-7078-47E2-8A0C-356096A7CD67}"/>
    <hyperlink ref="C10" location="Analysis!A72" display="Go to Q5 Analysis" xr:uid="{8E60CD02-F511-4E76-8893-D01751C78C40}"/>
    <hyperlink ref="C11" location="Analysis!A91" display="Go to Q6 Analysis" xr:uid="{14123825-7F91-4499-B136-C7B41BDFF96B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9"/>
  <sheetViews>
    <sheetView tabSelected="1" topLeftCell="A90" zoomScale="63" zoomScaleNormal="100" workbookViewId="0">
      <selection activeCell="E97" sqref="E97"/>
    </sheetView>
  </sheetViews>
  <sheetFormatPr defaultColWidth="8.6640625" defaultRowHeight="14.4" x14ac:dyDescent="0.3"/>
  <cols>
    <col min="1" max="1" width="12" customWidth="1"/>
    <col min="3" max="3" width="45.44140625" customWidth="1"/>
    <col min="4" max="4" width="43.77734375" customWidth="1"/>
    <col min="5" max="5" width="27.33203125" customWidth="1"/>
    <col min="6" max="6" width="20.5546875" customWidth="1"/>
    <col min="7" max="7" width="25.44140625" customWidth="1"/>
    <col min="8" max="8" width="22" customWidth="1"/>
    <col min="9" max="9" width="46.33203125" customWidth="1"/>
  </cols>
  <sheetData>
    <row r="1" spans="1:4" ht="18" customHeight="1" x14ac:dyDescent="0.35">
      <c r="A1" s="8" t="s">
        <v>362</v>
      </c>
    </row>
    <row r="3" spans="1:4" x14ac:dyDescent="0.3">
      <c r="A3" t="s">
        <v>363</v>
      </c>
    </row>
    <row r="5" spans="1:4" ht="18" x14ac:dyDescent="0.35">
      <c r="A5" s="31" t="s">
        <v>389</v>
      </c>
      <c r="C5" s="25" t="s">
        <v>398</v>
      </c>
      <c r="D5" s="25" t="s">
        <v>442</v>
      </c>
    </row>
    <row r="6" spans="1:4" x14ac:dyDescent="0.3">
      <c r="C6" t="s">
        <v>392</v>
      </c>
      <c r="D6">
        <v>300</v>
      </c>
    </row>
    <row r="7" spans="1:4" x14ac:dyDescent="0.3">
      <c r="C7" t="s">
        <v>393</v>
      </c>
      <c r="D7">
        <v>0</v>
      </c>
    </row>
    <row r="8" spans="1:4" x14ac:dyDescent="0.3">
      <c r="C8" t="s">
        <v>394</v>
      </c>
      <c r="D8">
        <v>0</v>
      </c>
    </row>
    <row r="9" spans="1:4" x14ac:dyDescent="0.3">
      <c r="C9" t="s">
        <v>395</v>
      </c>
      <c r="D9" t="s">
        <v>390</v>
      </c>
    </row>
    <row r="10" spans="1:4" x14ac:dyDescent="0.3">
      <c r="C10" t="s">
        <v>391</v>
      </c>
      <c r="D10" t="s">
        <v>396</v>
      </c>
    </row>
    <row r="12" spans="1:4" ht="18" x14ac:dyDescent="0.35">
      <c r="A12" s="31" t="s">
        <v>397</v>
      </c>
      <c r="C12" s="26" t="s">
        <v>398</v>
      </c>
      <c r="D12" s="26" t="s">
        <v>399</v>
      </c>
    </row>
    <row r="13" spans="1:4" x14ac:dyDescent="0.3">
      <c r="C13" s="10" t="s">
        <v>400</v>
      </c>
      <c r="D13" s="10" t="s">
        <v>401</v>
      </c>
    </row>
    <row r="14" spans="1:4" x14ac:dyDescent="0.3">
      <c r="C14" s="11" t="s">
        <v>402</v>
      </c>
      <c r="D14" s="10" t="s">
        <v>403</v>
      </c>
    </row>
    <row r="15" spans="1:4" x14ac:dyDescent="0.3">
      <c r="C15" s="11" t="s">
        <v>404</v>
      </c>
      <c r="D15" s="10" t="s">
        <v>405</v>
      </c>
    </row>
    <row r="16" spans="1:4" x14ac:dyDescent="0.3">
      <c r="C16" s="11" t="s">
        <v>406</v>
      </c>
      <c r="D16" s="10" t="s">
        <v>407</v>
      </c>
    </row>
    <row r="17" spans="1:7" x14ac:dyDescent="0.3">
      <c r="C17" s="10"/>
      <c r="D17" s="10"/>
    </row>
    <row r="18" spans="1:7" x14ac:dyDescent="0.3">
      <c r="C18" s="10" t="s">
        <v>411</v>
      </c>
      <c r="D18" s="10" t="s">
        <v>409</v>
      </c>
    </row>
    <row r="19" spans="1:7" x14ac:dyDescent="0.3">
      <c r="D19" s="10" t="s">
        <v>412</v>
      </c>
    </row>
    <row r="21" spans="1:7" x14ac:dyDescent="0.3">
      <c r="C21" t="s">
        <v>413</v>
      </c>
      <c r="D21" t="s">
        <v>414</v>
      </c>
    </row>
    <row r="22" spans="1:7" x14ac:dyDescent="0.3">
      <c r="D22" t="s">
        <v>410</v>
      </c>
    </row>
    <row r="25" spans="1:7" ht="18" x14ac:dyDescent="0.35">
      <c r="A25" s="31" t="s">
        <v>408</v>
      </c>
      <c r="C25" s="26" t="s">
        <v>398</v>
      </c>
      <c r="D25" s="26" t="s">
        <v>399</v>
      </c>
      <c r="E25" s="13"/>
    </row>
    <row r="26" spans="1:7" x14ac:dyDescent="0.3">
      <c r="C26" t="s">
        <v>415</v>
      </c>
      <c r="D26" t="s">
        <v>434</v>
      </c>
      <c r="E26" t="s">
        <v>436</v>
      </c>
    </row>
    <row r="27" spans="1:7" x14ac:dyDescent="0.3">
      <c r="C27" t="s">
        <v>416</v>
      </c>
      <c r="D27" t="s">
        <v>435</v>
      </c>
      <c r="E27" t="s">
        <v>412</v>
      </c>
    </row>
    <row r="28" spans="1:7" x14ac:dyDescent="0.3">
      <c r="C28" t="s">
        <v>433</v>
      </c>
      <c r="D28" t="s">
        <v>437</v>
      </c>
    </row>
    <row r="29" spans="1:7" x14ac:dyDescent="0.3">
      <c r="D29" t="s">
        <v>415</v>
      </c>
    </row>
    <row r="30" spans="1:7" x14ac:dyDescent="0.3">
      <c r="E30" s="14" t="s">
        <v>417</v>
      </c>
      <c r="F30" t="s">
        <v>419</v>
      </c>
      <c r="G30" t="s">
        <v>432</v>
      </c>
    </row>
    <row r="31" spans="1:7" x14ac:dyDescent="0.3">
      <c r="D31" t="s">
        <v>438</v>
      </c>
      <c r="E31" s="15" t="s">
        <v>420</v>
      </c>
      <c r="F31">
        <v>33</v>
      </c>
      <c r="G31" s="4">
        <v>116.2</v>
      </c>
    </row>
    <row r="32" spans="1:7" x14ac:dyDescent="0.3">
      <c r="D32" t="s">
        <v>439</v>
      </c>
      <c r="E32" s="15" t="s">
        <v>421</v>
      </c>
      <c r="F32">
        <v>26</v>
      </c>
      <c r="G32" s="4">
        <v>91.2</v>
      </c>
    </row>
    <row r="33" spans="1:9" x14ac:dyDescent="0.3">
      <c r="D33" t="s">
        <v>440</v>
      </c>
      <c r="E33" s="15" t="s">
        <v>422</v>
      </c>
      <c r="F33">
        <v>17</v>
      </c>
      <c r="G33" s="4">
        <v>58.199999999999989</v>
      </c>
    </row>
    <row r="34" spans="1:9" x14ac:dyDescent="0.3">
      <c r="E34" s="15" t="s">
        <v>423</v>
      </c>
      <c r="F34">
        <v>25</v>
      </c>
      <c r="G34" s="4">
        <v>94.399999999999991</v>
      </c>
    </row>
    <row r="35" spans="1:9" x14ac:dyDescent="0.3">
      <c r="E35" s="15" t="s">
        <v>424</v>
      </c>
      <c r="F35">
        <v>16</v>
      </c>
      <c r="G35" s="4">
        <v>59.1</v>
      </c>
    </row>
    <row r="36" spans="1:9" x14ac:dyDescent="0.3">
      <c r="E36" s="15" t="s">
        <v>425</v>
      </c>
      <c r="F36">
        <v>25</v>
      </c>
      <c r="G36" s="4">
        <v>87.000000000000014</v>
      </c>
    </row>
    <row r="37" spans="1:9" x14ac:dyDescent="0.3">
      <c r="E37" s="15" t="s">
        <v>426</v>
      </c>
      <c r="F37">
        <v>23</v>
      </c>
      <c r="G37" s="4">
        <v>81.099999999999994</v>
      </c>
    </row>
    <row r="38" spans="1:9" x14ac:dyDescent="0.3">
      <c r="E38" s="15" t="s">
        <v>427</v>
      </c>
      <c r="F38">
        <v>27</v>
      </c>
      <c r="G38" s="4">
        <v>99.6</v>
      </c>
    </row>
    <row r="39" spans="1:9" x14ac:dyDescent="0.3">
      <c r="E39" s="15" t="s">
        <v>428</v>
      </c>
      <c r="F39">
        <v>21</v>
      </c>
      <c r="G39" s="4">
        <v>73.599999999999994</v>
      </c>
    </row>
    <row r="40" spans="1:9" x14ac:dyDescent="0.3">
      <c r="E40" s="15" t="s">
        <v>429</v>
      </c>
      <c r="F40">
        <v>31</v>
      </c>
      <c r="G40" s="4">
        <v>112.59999999999998</v>
      </c>
    </row>
    <row r="41" spans="1:9" x14ac:dyDescent="0.3">
      <c r="E41" s="15" t="s">
        <v>430</v>
      </c>
      <c r="F41">
        <v>30</v>
      </c>
      <c r="G41" s="4">
        <v>108.40000000000002</v>
      </c>
    </row>
    <row r="42" spans="1:9" x14ac:dyDescent="0.3">
      <c r="E42" s="15" t="s">
        <v>431</v>
      </c>
      <c r="F42">
        <v>26</v>
      </c>
      <c r="G42" s="4">
        <v>95.3</v>
      </c>
    </row>
    <row r="43" spans="1:9" x14ac:dyDescent="0.3">
      <c r="E43" s="15" t="s">
        <v>418</v>
      </c>
      <c r="F43">
        <v>300</v>
      </c>
      <c r="G43" s="4">
        <v>1076.7000000000003</v>
      </c>
    </row>
    <row r="44" spans="1:9" x14ac:dyDescent="0.3">
      <c r="F44" s="28" t="s">
        <v>558</v>
      </c>
    </row>
    <row r="47" spans="1:9" ht="18" x14ac:dyDescent="0.35">
      <c r="A47" s="31" t="s">
        <v>441</v>
      </c>
      <c r="C47" s="25" t="s">
        <v>443</v>
      </c>
      <c r="D47" s="25" t="s">
        <v>444</v>
      </c>
      <c r="E47" s="25" t="s">
        <v>445</v>
      </c>
      <c r="H47" s="26" t="s">
        <v>473</v>
      </c>
      <c r="I47" s="26" t="s">
        <v>474</v>
      </c>
    </row>
    <row r="48" spans="1:9" x14ac:dyDescent="0.3">
      <c r="C48" s="25" t="s">
        <v>398</v>
      </c>
      <c r="D48" s="25" t="s">
        <v>446</v>
      </c>
      <c r="E48" s="25" t="s">
        <v>447</v>
      </c>
      <c r="H48" s="10" t="s">
        <v>475</v>
      </c>
      <c r="I48" s="11" t="s">
        <v>486</v>
      </c>
    </row>
    <row r="49" spans="3:9" x14ac:dyDescent="0.3">
      <c r="C49" t="s">
        <v>448</v>
      </c>
      <c r="D49" t="s">
        <v>452</v>
      </c>
      <c r="E49" t="s">
        <v>455</v>
      </c>
      <c r="H49" s="10" t="s">
        <v>476</v>
      </c>
      <c r="I49" s="11" t="s">
        <v>485</v>
      </c>
    </row>
    <row r="50" spans="3:9" x14ac:dyDescent="0.3">
      <c r="C50" t="s">
        <v>449</v>
      </c>
      <c r="D50" t="s">
        <v>453</v>
      </c>
      <c r="E50" s="17"/>
      <c r="H50" s="10" t="s">
        <v>477</v>
      </c>
      <c r="I50" s="11" t="s">
        <v>484</v>
      </c>
    </row>
    <row r="51" spans="3:9" x14ac:dyDescent="0.3">
      <c r="C51" t="s">
        <v>450</v>
      </c>
      <c r="D51">
        <v>0.05</v>
      </c>
      <c r="E51" s="17" t="s">
        <v>456</v>
      </c>
      <c r="H51" s="10" t="s">
        <v>478</v>
      </c>
      <c r="I51" s="11" t="s">
        <v>481</v>
      </c>
    </row>
    <row r="52" spans="3:9" x14ac:dyDescent="0.3">
      <c r="C52" t="s">
        <v>451</v>
      </c>
      <c r="D52" t="s">
        <v>454</v>
      </c>
      <c r="H52" s="10" t="s">
        <v>479</v>
      </c>
      <c r="I52" s="11" t="s">
        <v>482</v>
      </c>
    </row>
    <row r="53" spans="3:9" x14ac:dyDescent="0.3">
      <c r="E53" t="s">
        <v>457</v>
      </c>
      <c r="H53" s="10" t="s">
        <v>480</v>
      </c>
      <c r="I53" s="11" t="s">
        <v>483</v>
      </c>
    </row>
    <row r="54" spans="3:9" x14ac:dyDescent="0.3">
      <c r="E54" s="17"/>
    </row>
    <row r="55" spans="3:9" x14ac:dyDescent="0.3">
      <c r="E55" s="17" t="s">
        <v>458</v>
      </c>
    </row>
    <row r="56" spans="3:9" x14ac:dyDescent="0.3">
      <c r="E56" s="17" t="s">
        <v>459</v>
      </c>
    </row>
    <row r="58" spans="3:9" x14ac:dyDescent="0.3">
      <c r="E58" t="s">
        <v>460</v>
      </c>
    </row>
    <row r="60" spans="3:9" x14ac:dyDescent="0.3">
      <c r="C60" t="s">
        <v>461</v>
      </c>
      <c r="D60">
        <f>COUNT(HR_Data!J2:J301)</f>
        <v>300</v>
      </c>
    </row>
    <row r="61" spans="3:9" x14ac:dyDescent="0.3">
      <c r="C61" t="s">
        <v>462</v>
      </c>
      <c r="D61">
        <f>AVERAGE(tbl_HR_Data[Salary])</f>
        <v>99734</v>
      </c>
    </row>
    <row r="62" spans="3:9" x14ac:dyDescent="0.3">
      <c r="C62" t="s">
        <v>463</v>
      </c>
      <c r="D62" s="18">
        <f>_xlfn.STDEV.S(tbl_HR_Data[Salary])</f>
        <v>41182.65509818976</v>
      </c>
    </row>
    <row r="63" spans="3:9" x14ac:dyDescent="0.3">
      <c r="C63" t="s">
        <v>464</v>
      </c>
      <c r="D63" s="18">
        <f>(D61-60000)/(D62/SQRT(D60))</f>
        <v>16.711235986085537</v>
      </c>
    </row>
    <row r="65" spans="1:9" x14ac:dyDescent="0.3">
      <c r="C65" t="s">
        <v>465</v>
      </c>
      <c r="D65">
        <f>_xlfn.T.DIST.2T(ABS(D63),D60-1)</f>
        <v>9.8875615841203108E-45</v>
      </c>
    </row>
    <row r="66" spans="1:9" x14ac:dyDescent="0.3">
      <c r="C66" t="s">
        <v>466</v>
      </c>
      <c r="D66">
        <f>D60-1</f>
        <v>299</v>
      </c>
      <c r="E66" s="12" t="s">
        <v>467</v>
      </c>
    </row>
    <row r="67" spans="1:9" x14ac:dyDescent="0.3">
      <c r="C67" t="s">
        <v>472</v>
      </c>
      <c r="E67" t="s">
        <v>468</v>
      </c>
      <c r="F67" s="13" t="s">
        <v>469</v>
      </c>
    </row>
    <row r="69" spans="1:9" ht="57.6" x14ac:dyDescent="0.3">
      <c r="C69" t="s">
        <v>470</v>
      </c>
      <c r="D69" s="21" t="s">
        <v>471</v>
      </c>
      <c r="F69" s="19"/>
    </row>
    <row r="72" spans="1:9" ht="18" x14ac:dyDescent="0.35">
      <c r="A72" s="31" t="s">
        <v>487</v>
      </c>
      <c r="C72" s="25" t="s">
        <v>443</v>
      </c>
      <c r="D72" s="25" t="s">
        <v>444</v>
      </c>
      <c r="E72" s="25" t="s">
        <v>445</v>
      </c>
      <c r="H72" s="26" t="s">
        <v>473</v>
      </c>
      <c r="I72" s="26" t="s">
        <v>474</v>
      </c>
    </row>
    <row r="73" spans="1:9" x14ac:dyDescent="0.3">
      <c r="C73" s="25" t="s">
        <v>398</v>
      </c>
      <c r="D73" s="25" t="s">
        <v>446</v>
      </c>
      <c r="E73" s="25" t="s">
        <v>447</v>
      </c>
      <c r="H73" s="10" t="s">
        <v>475</v>
      </c>
      <c r="I73" s="11" t="s">
        <v>507</v>
      </c>
    </row>
    <row r="74" spans="1:9" x14ac:dyDescent="0.3">
      <c r="C74" s="10" t="s">
        <v>488</v>
      </c>
      <c r="D74" s="10" t="s">
        <v>489</v>
      </c>
      <c r="H74" s="10" t="s">
        <v>503</v>
      </c>
      <c r="I74" s="11" t="s">
        <v>508</v>
      </c>
    </row>
    <row r="75" spans="1:9" x14ac:dyDescent="0.3">
      <c r="C75" s="10" t="s">
        <v>490</v>
      </c>
      <c r="D75" s="10" t="s">
        <v>491</v>
      </c>
      <c r="H75" s="10" t="s">
        <v>504</v>
      </c>
      <c r="I75" s="11">
        <f>4</f>
        <v>4</v>
      </c>
    </row>
    <row r="76" spans="1:9" x14ac:dyDescent="0.3">
      <c r="C76" s="10" t="s">
        <v>450</v>
      </c>
      <c r="D76" s="10">
        <v>0.05</v>
      </c>
      <c r="H76" s="10" t="s">
        <v>505</v>
      </c>
      <c r="I76" s="11">
        <f>12</f>
        <v>12</v>
      </c>
    </row>
    <row r="77" spans="1:9" x14ac:dyDescent="0.3">
      <c r="C77" s="10" t="s">
        <v>451</v>
      </c>
      <c r="D77" s="10" t="s">
        <v>492</v>
      </c>
      <c r="H77" s="10" t="s">
        <v>498</v>
      </c>
      <c r="I77" s="11" t="s">
        <v>509</v>
      </c>
    </row>
    <row r="78" spans="1:9" x14ac:dyDescent="0.3">
      <c r="C78" s="10" t="s">
        <v>493</v>
      </c>
      <c r="D78" s="10" t="s">
        <v>494</v>
      </c>
      <c r="H78" s="10" t="s">
        <v>506</v>
      </c>
      <c r="I78" s="11" t="s">
        <v>510</v>
      </c>
    </row>
    <row r="80" spans="1:9" x14ac:dyDescent="0.3">
      <c r="C80" s="10" t="s">
        <v>495</v>
      </c>
      <c r="D80">
        <f>COUNT(tbl_HR_Data[Leave_Days])</f>
        <v>300</v>
      </c>
    </row>
    <row r="81" spans="1:9" x14ac:dyDescent="0.3">
      <c r="C81" s="10" t="s">
        <v>462</v>
      </c>
      <c r="D81">
        <f>AVERAGE(tbl_HR_Data[Leave_Days])</f>
        <v>11.623333333333333</v>
      </c>
    </row>
    <row r="82" spans="1:9" x14ac:dyDescent="0.3">
      <c r="C82" t="s">
        <v>496</v>
      </c>
      <c r="D82">
        <v>4</v>
      </c>
    </row>
    <row r="83" spans="1:9" x14ac:dyDescent="0.3">
      <c r="C83" t="s">
        <v>497</v>
      </c>
      <c r="D83">
        <v>12</v>
      </c>
    </row>
    <row r="85" spans="1:9" x14ac:dyDescent="0.3">
      <c r="C85" t="s">
        <v>498</v>
      </c>
      <c r="D85">
        <f>(D81-D83)/(D82/SQRT(D80))</f>
        <v>-1.6310145104606941</v>
      </c>
    </row>
    <row r="86" spans="1:9" x14ac:dyDescent="0.3">
      <c r="C86" t="s">
        <v>499</v>
      </c>
      <c r="D86">
        <f>1-_xlfn.NORM.S.DIST(D85,TRUE)</f>
        <v>0.9485563711191648</v>
      </c>
    </row>
    <row r="87" spans="1:9" x14ac:dyDescent="0.3">
      <c r="C87" t="s">
        <v>472</v>
      </c>
      <c r="D87" t="s">
        <v>500</v>
      </c>
    </row>
    <row r="88" spans="1:9" x14ac:dyDescent="0.3">
      <c r="C88" t="s">
        <v>501</v>
      </c>
      <c r="D88" s="20" t="s">
        <v>502</v>
      </c>
    </row>
    <row r="91" spans="1:9" ht="18" x14ac:dyDescent="0.35">
      <c r="A91" s="31" t="s">
        <v>511</v>
      </c>
      <c r="C91" s="29" t="s">
        <v>512</v>
      </c>
    </row>
    <row r="92" spans="1:9" x14ac:dyDescent="0.3">
      <c r="A92" s="30" t="s">
        <v>522</v>
      </c>
    </row>
    <row r="93" spans="1:9" x14ac:dyDescent="0.3">
      <c r="C93" s="25" t="s">
        <v>443</v>
      </c>
      <c r="D93" s="25" t="s">
        <v>444</v>
      </c>
      <c r="H93" s="26" t="s">
        <v>473</v>
      </c>
      <c r="I93" s="26" t="s">
        <v>474</v>
      </c>
    </row>
    <row r="94" spans="1:9" x14ac:dyDescent="0.3">
      <c r="C94" s="25" t="s">
        <v>398</v>
      </c>
      <c r="D94" s="25" t="s">
        <v>442</v>
      </c>
      <c r="H94" s="10" t="s">
        <v>475</v>
      </c>
      <c r="I94" s="11" t="s">
        <v>535</v>
      </c>
    </row>
    <row r="95" spans="1:9" ht="26.4" x14ac:dyDescent="0.3">
      <c r="H95" s="10" t="s">
        <v>476</v>
      </c>
      <c r="I95" s="11" t="s">
        <v>536</v>
      </c>
    </row>
    <row r="96" spans="1:9" x14ac:dyDescent="0.3">
      <c r="C96" t="s">
        <v>495</v>
      </c>
      <c r="D96">
        <f>COUNT(tbl_HR_Data[Job_Satisfaction])</f>
        <v>300</v>
      </c>
      <c r="H96" s="10" t="s">
        <v>477</v>
      </c>
      <c r="I96" s="11" t="s">
        <v>537</v>
      </c>
    </row>
    <row r="97" spans="1:9" ht="39.6" x14ac:dyDescent="0.3">
      <c r="C97" t="s">
        <v>503</v>
      </c>
      <c r="D97">
        <f>AVERAGE(tbl_HR_Data[Job_Satisfaction])</f>
        <v>3.6483333333333339</v>
      </c>
      <c r="H97" s="10" t="s">
        <v>514</v>
      </c>
      <c r="I97" s="11" t="s">
        <v>538</v>
      </c>
    </row>
    <row r="98" spans="1:9" x14ac:dyDescent="0.3">
      <c r="C98" t="s">
        <v>513</v>
      </c>
      <c r="D98">
        <f>_xlfn.STDEV.S(tbl_HR_Data[Job_Satisfaction])</f>
        <v>0.70109605224280225</v>
      </c>
      <c r="H98" s="10" t="s">
        <v>478</v>
      </c>
      <c r="I98" s="11" t="s">
        <v>539</v>
      </c>
    </row>
    <row r="99" spans="1:9" x14ac:dyDescent="0.3">
      <c r="C99" t="s">
        <v>514</v>
      </c>
      <c r="D99">
        <f>_xlfn.STDEV.S(tbl_HR_Data[Job_Satisfaction])/SQRT(COUNT(tbl_HR_Data[Job_Satisfaction]))</f>
        <v>4.0477799449016576E-2</v>
      </c>
      <c r="H99" s="10" t="s">
        <v>531</v>
      </c>
      <c r="I99" s="11" t="s">
        <v>540</v>
      </c>
    </row>
    <row r="100" spans="1:9" x14ac:dyDescent="0.3">
      <c r="C100" t="s">
        <v>515</v>
      </c>
      <c r="D100" s="4">
        <f>COUNT(tbl_HR_Data[Job_Satisfaction])-1</f>
        <v>299</v>
      </c>
      <c r="H100" s="10" t="s">
        <v>532</v>
      </c>
      <c r="I100" s="11" t="s">
        <v>541</v>
      </c>
    </row>
    <row r="101" spans="1:9" x14ac:dyDescent="0.3">
      <c r="C101" t="s">
        <v>516</v>
      </c>
      <c r="D101">
        <f>_xlfn.T.INV.2T(0.05,299)</f>
        <v>1.9679296690656669</v>
      </c>
      <c r="H101" s="10" t="s">
        <v>518</v>
      </c>
      <c r="I101" s="11" t="s">
        <v>542</v>
      </c>
    </row>
    <row r="102" spans="1:9" x14ac:dyDescent="0.3">
      <c r="C102" t="s">
        <v>517</v>
      </c>
      <c r="D102" s="23">
        <f>1.9679*0.0407</f>
        <v>8.0093529999999996E-2</v>
      </c>
      <c r="H102" s="10" t="s">
        <v>519</v>
      </c>
      <c r="I102" s="11" t="s">
        <v>543</v>
      </c>
    </row>
    <row r="103" spans="1:9" ht="26.4" x14ac:dyDescent="0.3">
      <c r="C103" t="s">
        <v>518</v>
      </c>
      <c r="D103">
        <f>D97-D102</f>
        <v>3.5682398033333338</v>
      </c>
      <c r="H103" s="10" t="s">
        <v>533</v>
      </c>
      <c r="I103" s="11" t="s">
        <v>544</v>
      </c>
    </row>
    <row r="104" spans="1:9" ht="26.4" x14ac:dyDescent="0.3">
      <c r="C104" t="s">
        <v>519</v>
      </c>
      <c r="D104">
        <f>D97+D102</f>
        <v>3.728426863333334</v>
      </c>
      <c r="H104" s="10" t="s">
        <v>534</v>
      </c>
      <c r="I104" s="11" t="s">
        <v>545</v>
      </c>
    </row>
    <row r="106" spans="1:9" x14ac:dyDescent="0.3">
      <c r="C106" t="s">
        <v>520</v>
      </c>
      <c r="D106" s="20" t="s">
        <v>521</v>
      </c>
    </row>
    <row r="109" spans="1:9" x14ac:dyDescent="0.3">
      <c r="A109" s="30" t="s">
        <v>523</v>
      </c>
      <c r="C109" s="29" t="s">
        <v>524</v>
      </c>
    </row>
    <row r="111" spans="1:9" x14ac:dyDescent="0.3">
      <c r="A111" s="24" t="s">
        <v>525</v>
      </c>
    </row>
    <row r="113" spans="3:4" x14ac:dyDescent="0.3">
      <c r="C113" t="s">
        <v>526</v>
      </c>
      <c r="D113">
        <f>AVERAGE(tbl_HR_Data[Pre_Training_Performance])</f>
        <v>3.4526666666666643</v>
      </c>
    </row>
    <row r="114" spans="3:4" x14ac:dyDescent="0.3">
      <c r="C114" t="s">
        <v>527</v>
      </c>
      <c r="D114">
        <f>AVERAGE(tbl_HR_Data[Post_Training_Performance])</f>
        <v>3.7943333333333333</v>
      </c>
    </row>
    <row r="116" spans="3:4" x14ac:dyDescent="0.3">
      <c r="C116" t="s">
        <v>528</v>
      </c>
      <c r="D116">
        <f>D114-D113</f>
        <v>0.34166666666666901</v>
      </c>
    </row>
    <row r="118" spans="3:4" ht="43.2" x14ac:dyDescent="0.3">
      <c r="C118" t="s">
        <v>530</v>
      </c>
      <c r="D118" s="22" t="s">
        <v>529</v>
      </c>
    </row>
    <row r="119" spans="3:4" x14ac:dyDescent="0.3">
      <c r="D119" t="s">
        <v>521</v>
      </c>
    </row>
  </sheetData>
  <pageMargins left="0.7" right="0.7" top="0.75" bottom="0.75" header="0.511811023622047" footer="0.511811023622047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"/>
  <sheetViews>
    <sheetView zoomScaleNormal="100" workbookViewId="0"/>
  </sheetViews>
  <sheetFormatPr defaultColWidth="8.6640625" defaultRowHeight="14.4" x14ac:dyDescent="0.3"/>
  <sheetData>
    <row r="1" spans="1:2" x14ac:dyDescent="0.3">
      <c r="B1" s="9" t="s">
        <v>364</v>
      </c>
    </row>
    <row r="2" spans="1:2" x14ac:dyDescent="0.3">
      <c r="A2" t="s">
        <v>0</v>
      </c>
      <c r="B2" t="s">
        <v>365</v>
      </c>
    </row>
    <row r="3" spans="1:2" x14ac:dyDescent="0.3">
      <c r="A3" t="s">
        <v>1</v>
      </c>
      <c r="B3" t="s">
        <v>366</v>
      </c>
    </row>
    <row r="4" spans="1:2" x14ac:dyDescent="0.3">
      <c r="A4" t="s">
        <v>2</v>
      </c>
      <c r="B4" t="s">
        <v>367</v>
      </c>
    </row>
    <row r="5" spans="1:2" x14ac:dyDescent="0.3">
      <c r="A5" t="s">
        <v>3</v>
      </c>
      <c r="B5" t="s">
        <v>368</v>
      </c>
    </row>
    <row r="6" spans="1:2" x14ac:dyDescent="0.3">
      <c r="A6" t="s">
        <v>4</v>
      </c>
      <c r="B6" t="s">
        <v>369</v>
      </c>
    </row>
    <row r="7" spans="1:2" x14ac:dyDescent="0.3">
      <c r="A7" t="s">
        <v>5</v>
      </c>
      <c r="B7" t="s">
        <v>370</v>
      </c>
    </row>
    <row r="8" spans="1:2" x14ac:dyDescent="0.3">
      <c r="A8" t="s">
        <v>6</v>
      </c>
      <c r="B8" t="s">
        <v>371</v>
      </c>
    </row>
    <row r="9" spans="1:2" x14ac:dyDescent="0.3">
      <c r="A9" t="s">
        <v>7</v>
      </c>
      <c r="B9" t="s">
        <v>372</v>
      </c>
    </row>
    <row r="10" spans="1:2" x14ac:dyDescent="0.3">
      <c r="A10" t="s">
        <v>8</v>
      </c>
      <c r="B10" t="s">
        <v>373</v>
      </c>
    </row>
    <row r="11" spans="1:2" x14ac:dyDescent="0.3">
      <c r="A11" t="s">
        <v>9</v>
      </c>
      <c r="B11" t="s">
        <v>374</v>
      </c>
    </row>
    <row r="12" spans="1:2" x14ac:dyDescent="0.3">
      <c r="A12" t="s">
        <v>10</v>
      </c>
      <c r="B12" t="s">
        <v>375</v>
      </c>
    </row>
    <row r="13" spans="1:2" x14ac:dyDescent="0.3">
      <c r="A13" t="s">
        <v>11</v>
      </c>
      <c r="B13" t="s">
        <v>376</v>
      </c>
    </row>
    <row r="14" spans="1:2" x14ac:dyDescent="0.3">
      <c r="A14" t="s">
        <v>12</v>
      </c>
      <c r="B14" t="s">
        <v>377</v>
      </c>
    </row>
    <row r="15" spans="1:2" x14ac:dyDescent="0.3">
      <c r="A15" t="s">
        <v>13</v>
      </c>
      <c r="B15" t="s">
        <v>378</v>
      </c>
    </row>
    <row r="16" spans="1:2" x14ac:dyDescent="0.3">
      <c r="A16" t="s">
        <v>14</v>
      </c>
      <c r="B16" t="s">
        <v>379</v>
      </c>
    </row>
    <row r="17" spans="1:2" x14ac:dyDescent="0.3">
      <c r="A17" t="s">
        <v>15</v>
      </c>
      <c r="B17" t="s">
        <v>380</v>
      </c>
    </row>
    <row r="18" spans="1:2" x14ac:dyDescent="0.3">
      <c r="A18" t="s">
        <v>16</v>
      </c>
      <c r="B18" t="s">
        <v>381</v>
      </c>
    </row>
    <row r="19" spans="1:2" x14ac:dyDescent="0.3">
      <c r="A19" t="s">
        <v>17</v>
      </c>
      <c r="B19" t="s">
        <v>382</v>
      </c>
    </row>
    <row r="20" spans="1:2" x14ac:dyDescent="0.3">
      <c r="A20" t="s">
        <v>18</v>
      </c>
      <c r="B20" t="s">
        <v>383</v>
      </c>
    </row>
    <row r="21" spans="1:2" x14ac:dyDescent="0.3">
      <c r="A21" t="s">
        <v>19</v>
      </c>
      <c r="B21" t="s">
        <v>384</v>
      </c>
    </row>
    <row r="22" spans="1:2" x14ac:dyDescent="0.3">
      <c r="A22" t="s">
        <v>20</v>
      </c>
      <c r="B22" t="s">
        <v>385</v>
      </c>
    </row>
    <row r="23" spans="1:2" x14ac:dyDescent="0.3">
      <c r="A23" t="s">
        <v>21</v>
      </c>
      <c r="B23" t="s">
        <v>386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HR_Data</vt:lpstr>
      <vt:lpstr>Cleaned Data</vt:lpstr>
      <vt:lpstr>Answer_Sheet</vt:lpstr>
      <vt:lpstr>Analysis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Shivani Sethi</cp:lastModifiedBy>
  <cp:revision>0</cp:revision>
  <dcterms:created xsi:type="dcterms:W3CDTF">2026-08-26T08:22:28Z</dcterms:created>
  <dcterms:modified xsi:type="dcterms:W3CDTF">2026-09-06T16:13:47Z</dcterms:modified>
  <dc:language>en-US</dc:language>
</cp:coreProperties>
</file>